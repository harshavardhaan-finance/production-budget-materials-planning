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E:\Projects\Project 4 - Material Budget and Hedging Analysis\"/>
    </mc:Choice>
  </mc:AlternateContent>
  <xr:revisionPtr revIDLastSave="0" documentId="13_ncr:1_{04C6D20D-1F9B-4A92-903C-3072C76E9E50}" xr6:coauthVersionLast="47" xr6:coauthVersionMax="47" xr10:uidLastSave="{00000000-0000-0000-0000-000000000000}"/>
  <bookViews>
    <workbookView xWindow="-108" yWindow="-108" windowWidth="23256" windowHeight="12456" tabRatio="788" activeTab="7" xr2:uid="{00000000-000D-0000-FFFF-FFFF00000000}"/>
  </bookViews>
  <sheets>
    <sheet name="Case" sheetId="1" r:id="rId1"/>
    <sheet name="Approved SB &amp; Assumptions" sheetId="2" r:id="rId2"/>
    <sheet name="Production Budget" sheetId="3" r:id="rId3"/>
    <sheet name="Materials Budget" sheetId="4" r:id="rId4"/>
    <sheet name="Data insights" sheetId="9" r:id="rId5"/>
    <sheet name="Price prediction" sheetId="12" r:id="rId6"/>
    <sheet name="Hedging analysis" sheetId="13" r:id="rId7"/>
    <sheet name="Actuals" sheetId="14" r:id="rId8"/>
    <sheet name="Budget vs Actuals" sheetId="16" r:id="rId9"/>
    <sheet name="Hedging results" sheetId="17" r:id="rId10"/>
    <sheet name="Aluminium Historical workings" sheetId="8" r:id="rId11"/>
  </sheets>
  <definedNames>
    <definedName name="_xlnm._FilterDatabase" localSheetId="10" hidden="1">'Aluminium Historical workings'!$L$1:$O$1</definedName>
    <definedName name="ExternalData_1" localSheetId="10" hidden="1">'Aluminium Historical workings'!$A$1:$C$758</definedName>
  </definedNames>
  <calcPr calcId="18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7" l="1"/>
  <c r="E11" i="17"/>
  <c r="E10" i="17"/>
  <c r="C12" i="17"/>
  <c r="C11" i="17"/>
  <c r="C10" i="17"/>
  <c r="E8" i="16"/>
  <c r="F7" i="16"/>
  <c r="G7" i="16"/>
  <c r="G9" i="16" s="1"/>
  <c r="E7" i="16"/>
  <c r="F8" i="16"/>
  <c r="C21" i="16" s="1"/>
  <c r="G8" i="16"/>
  <c r="G4" i="17"/>
  <c r="F4" i="17"/>
  <c r="D7" i="17"/>
  <c r="C7" i="17"/>
  <c r="D6" i="17"/>
  <c r="C6" i="17"/>
  <c r="D5" i="17"/>
  <c r="C5" i="17"/>
  <c r="F6" i="16"/>
  <c r="C15" i="16" s="1"/>
  <c r="F15" i="16" s="1"/>
  <c r="G6" i="16"/>
  <c r="D15" i="16" s="1"/>
  <c r="G15" i="16" s="1"/>
  <c r="E6" i="16"/>
  <c r="B15" i="16" s="1"/>
  <c r="E15" i="16" s="1"/>
  <c r="C8" i="16"/>
  <c r="D8" i="16"/>
  <c r="B8" i="16"/>
  <c r="C7" i="16"/>
  <c r="D7" i="16"/>
  <c r="D21" i="16" s="1"/>
  <c r="B7" i="16"/>
  <c r="B16" i="16" s="1"/>
  <c r="E16" i="16" s="1"/>
  <c r="E7" i="14"/>
  <c r="C10" i="3"/>
  <c r="D10" i="3"/>
  <c r="E10" i="3"/>
  <c r="F10" i="3"/>
  <c r="G10" i="3"/>
  <c r="H10" i="3"/>
  <c r="I10" i="3"/>
  <c r="J10" i="3"/>
  <c r="K10" i="3"/>
  <c r="L10" i="3"/>
  <c r="M10" i="3"/>
  <c r="B10" i="3"/>
  <c r="C8" i="13"/>
  <c r="C9" i="13" s="1"/>
  <c r="C10" i="13" s="1"/>
  <c r="D8" i="13"/>
  <c r="D9" i="13" s="1"/>
  <c r="D10" i="13" s="1"/>
  <c r="E8" i="13"/>
  <c r="E9" i="13" s="1"/>
  <c r="E10" i="13" s="1"/>
  <c r="F8" i="13"/>
  <c r="F9" i="13" s="1"/>
  <c r="F10" i="13" s="1"/>
  <c r="G8" i="13"/>
  <c r="G9" i="13" s="1"/>
  <c r="G10" i="13" s="1"/>
  <c r="H8" i="13"/>
  <c r="H9" i="13" s="1"/>
  <c r="H10" i="13" s="1"/>
  <c r="I8" i="13"/>
  <c r="I9" i="13" s="1"/>
  <c r="I10" i="13" s="1"/>
  <c r="J8" i="13"/>
  <c r="J9" i="13" s="1"/>
  <c r="J10" i="13" s="1"/>
  <c r="K8" i="13"/>
  <c r="K9" i="13" s="1"/>
  <c r="K10" i="13" s="1"/>
  <c r="L8" i="13"/>
  <c r="L9" i="13" s="1"/>
  <c r="L10" i="13" s="1"/>
  <c r="M8" i="13"/>
  <c r="M9" i="13" s="1"/>
  <c r="M10" i="13" s="1"/>
  <c r="B8" i="13"/>
  <c r="B9" i="13" s="1"/>
  <c r="B10" i="13" s="1"/>
  <c r="H8" i="12"/>
  <c r="H19" i="12"/>
  <c r="H18" i="12"/>
  <c r="H17" i="12"/>
  <c r="H16" i="12"/>
  <c r="H15" i="12"/>
  <c r="H14" i="12"/>
  <c r="H13" i="12"/>
  <c r="H12" i="12"/>
  <c r="H11" i="12"/>
  <c r="H10" i="12"/>
  <c r="H9" i="12"/>
  <c r="E8" i="12"/>
  <c r="C8" i="12"/>
  <c r="K9" i="12"/>
  <c r="K8" i="12"/>
  <c r="C9" i="12"/>
  <c r="B12" i="9"/>
  <c r="E13" i="17" l="1"/>
  <c r="C13" i="17"/>
  <c r="H4" i="17"/>
  <c r="B10" i="17" s="1"/>
  <c r="B21" i="16"/>
  <c r="E9" i="16"/>
  <c r="F9" i="16"/>
  <c r="C17" i="16"/>
  <c r="F17" i="16" s="1"/>
  <c r="D9" i="16"/>
  <c r="D22" i="16" s="1"/>
  <c r="B17" i="16"/>
  <c r="E17" i="16" s="1"/>
  <c r="C16" i="16"/>
  <c r="F16" i="16" s="1"/>
  <c r="B9" i="16"/>
  <c r="B22" i="16" s="1"/>
  <c r="D18" i="16"/>
  <c r="D16" i="16"/>
  <c r="G16" i="16" s="1"/>
  <c r="D17" i="16"/>
  <c r="G17" i="16" s="1"/>
  <c r="C9" i="16"/>
  <c r="C22" i="16" s="1"/>
  <c r="E7" i="17"/>
  <c r="F7" i="17" s="1"/>
  <c r="D11" i="13"/>
  <c r="K11" i="13"/>
  <c r="G11" i="13"/>
  <c r="E6" i="17"/>
  <c r="G6" i="17" s="1"/>
  <c r="C11" i="13"/>
  <c r="J11" i="13"/>
  <c r="F11" i="13"/>
  <c r="L11" i="13"/>
  <c r="M11" i="13"/>
  <c r="I11" i="13"/>
  <c r="E11" i="13"/>
  <c r="H11" i="13"/>
  <c r="E5" i="17"/>
  <c r="F5" i="17" s="1"/>
  <c r="B11" i="13"/>
  <c r="K11" i="12"/>
  <c r="L11" i="12" s="1"/>
  <c r="E9" i="12"/>
  <c r="E10" i="12" s="1"/>
  <c r="F8" i="12"/>
  <c r="K12" i="12"/>
  <c r="L12" i="12" s="1"/>
  <c r="K14" i="12"/>
  <c r="L14" i="12" s="1"/>
  <c r="K13" i="12"/>
  <c r="L13" i="12" s="1"/>
  <c r="D8" i="12"/>
  <c r="D9" i="12"/>
  <c r="F10" i="17" l="1"/>
  <c r="C18" i="16"/>
  <c r="B18" i="16"/>
  <c r="D10" i="17" s="1"/>
  <c r="G18" i="16"/>
  <c r="F18" i="16"/>
  <c r="G7" i="17"/>
  <c r="H7" i="17" s="1"/>
  <c r="F6" i="17"/>
  <c r="H6" i="17" s="1"/>
  <c r="B12" i="17" s="1"/>
  <c r="G5" i="17"/>
  <c r="H5" i="17" s="1"/>
  <c r="B11" i="17" s="1"/>
  <c r="F11" i="17" s="1"/>
  <c r="C11" i="12"/>
  <c r="C10" i="12"/>
  <c r="D10" i="12" s="1"/>
  <c r="F10" i="12"/>
  <c r="F9" i="12"/>
  <c r="E11" i="12"/>
  <c r="E12" i="12" s="1"/>
  <c r="F12" i="12" s="1"/>
  <c r="B13" i="17" l="1"/>
  <c r="D12" i="17"/>
  <c r="F12" i="17"/>
  <c r="F13" i="17" s="1"/>
  <c r="E18" i="16"/>
  <c r="D11" i="17"/>
  <c r="C12" i="12"/>
  <c r="D12" i="12" s="1"/>
  <c r="D11" i="12"/>
  <c r="F11" i="12"/>
  <c r="E13" i="12"/>
  <c r="F13" i="12" s="1"/>
  <c r="C13" i="12"/>
  <c r="C16" i="4"/>
  <c r="D16" i="4"/>
  <c r="E16" i="4"/>
  <c r="F16" i="4"/>
  <c r="G16" i="4"/>
  <c r="H16" i="4"/>
  <c r="I16" i="4"/>
  <c r="J16" i="4"/>
  <c r="K16" i="4"/>
  <c r="L16" i="4"/>
  <c r="M16" i="4"/>
  <c r="B16" i="4"/>
  <c r="C15" i="4"/>
  <c r="D15" i="4"/>
  <c r="E15" i="4"/>
  <c r="F15" i="4"/>
  <c r="G15" i="4"/>
  <c r="H15" i="4"/>
  <c r="I15" i="4"/>
  <c r="J15" i="4"/>
  <c r="K15" i="4"/>
  <c r="L15" i="4"/>
  <c r="M15" i="4"/>
  <c r="D14" i="4"/>
  <c r="E14" i="4"/>
  <c r="F14" i="4"/>
  <c r="G14" i="4"/>
  <c r="H14" i="4"/>
  <c r="I14" i="4"/>
  <c r="J14" i="4"/>
  <c r="K14" i="4"/>
  <c r="L14" i="4"/>
  <c r="M14" i="4"/>
  <c r="B15" i="4"/>
  <c r="C14" i="4"/>
  <c r="C13" i="4"/>
  <c r="D13" i="4"/>
  <c r="E13" i="4"/>
  <c r="F13" i="4"/>
  <c r="G13" i="4"/>
  <c r="H13" i="4"/>
  <c r="I13" i="4"/>
  <c r="J13" i="4"/>
  <c r="K13" i="4"/>
  <c r="L13" i="4"/>
  <c r="M13" i="4"/>
  <c r="B13" i="4"/>
  <c r="C12" i="4"/>
  <c r="D12" i="4"/>
  <c r="E12" i="4"/>
  <c r="F12" i="4"/>
  <c r="G12" i="4"/>
  <c r="H12" i="4"/>
  <c r="I12" i="4"/>
  <c r="J12" i="4"/>
  <c r="K12" i="4"/>
  <c r="L12" i="4"/>
  <c r="M12" i="4"/>
  <c r="B12" i="4"/>
  <c r="C11" i="4"/>
  <c r="D11" i="4"/>
  <c r="E11" i="4"/>
  <c r="F11" i="4"/>
  <c r="G11" i="4"/>
  <c r="H11" i="4"/>
  <c r="I11" i="4"/>
  <c r="J11" i="4"/>
  <c r="K11" i="4"/>
  <c r="L11" i="4"/>
  <c r="M11" i="4"/>
  <c r="B11" i="4"/>
  <c r="C8" i="4"/>
  <c r="D8" i="4"/>
  <c r="E8" i="4"/>
  <c r="F8" i="4"/>
  <c r="G8" i="4"/>
  <c r="H8" i="4"/>
  <c r="I8" i="4"/>
  <c r="J8" i="4"/>
  <c r="K8" i="4"/>
  <c r="L8" i="4"/>
  <c r="M8" i="4"/>
  <c r="B8" i="4"/>
  <c r="C7" i="4"/>
  <c r="D7" i="4"/>
  <c r="E7" i="4"/>
  <c r="F7" i="4"/>
  <c r="G7" i="4"/>
  <c r="H7" i="4"/>
  <c r="I7" i="4"/>
  <c r="J7" i="4"/>
  <c r="K7" i="4"/>
  <c r="L7" i="4"/>
  <c r="M7" i="4"/>
  <c r="C6" i="4"/>
  <c r="D6" i="4"/>
  <c r="E6" i="4"/>
  <c r="F6" i="4"/>
  <c r="G6" i="4"/>
  <c r="H6" i="4"/>
  <c r="I6" i="4"/>
  <c r="J6" i="4"/>
  <c r="K6" i="4"/>
  <c r="L6" i="4"/>
  <c r="M6" i="4"/>
  <c r="B7" i="4"/>
  <c r="B6" i="4"/>
  <c r="C4" i="4"/>
  <c r="D4" i="4"/>
  <c r="E4" i="4"/>
  <c r="F4" i="4"/>
  <c r="G4" i="4"/>
  <c r="H4" i="4"/>
  <c r="I4" i="4"/>
  <c r="J4" i="4"/>
  <c r="K4" i="4"/>
  <c r="L4" i="4"/>
  <c r="M4" i="4"/>
  <c r="B4" i="4"/>
  <c r="C9" i="3"/>
  <c r="D9" i="3"/>
  <c r="E9" i="3"/>
  <c r="F9" i="3"/>
  <c r="G9" i="3"/>
  <c r="H9" i="3"/>
  <c r="I9" i="3"/>
  <c r="J9" i="3"/>
  <c r="K9" i="3"/>
  <c r="L9" i="3"/>
  <c r="M9" i="3"/>
  <c r="B9" i="3"/>
  <c r="D8" i="3"/>
  <c r="E8" i="3"/>
  <c r="F8" i="3"/>
  <c r="G8" i="3"/>
  <c r="H8" i="3"/>
  <c r="I8" i="3"/>
  <c r="J8" i="3"/>
  <c r="K8" i="3"/>
  <c r="L8" i="3"/>
  <c r="M8" i="3"/>
  <c r="C8" i="3"/>
  <c r="C7" i="3"/>
  <c r="D7" i="3"/>
  <c r="E7" i="3"/>
  <c r="F7" i="3"/>
  <c r="G7" i="3"/>
  <c r="H7" i="3"/>
  <c r="I7" i="3"/>
  <c r="J7" i="3"/>
  <c r="K7" i="3"/>
  <c r="L7" i="3"/>
  <c r="M7" i="3"/>
  <c r="B7" i="3"/>
  <c r="C6" i="3"/>
  <c r="D6" i="3"/>
  <c r="E6" i="3"/>
  <c r="F6" i="3"/>
  <c r="G6" i="3"/>
  <c r="H6" i="3"/>
  <c r="I6" i="3"/>
  <c r="J6" i="3"/>
  <c r="K6" i="3"/>
  <c r="L6" i="3"/>
  <c r="M6" i="3"/>
  <c r="B6" i="3"/>
  <c r="D13" i="17" l="1"/>
  <c r="D13" i="12"/>
  <c r="E14" i="12"/>
  <c r="C15" i="12"/>
  <c r="C16" i="12"/>
  <c r="C14" i="12"/>
  <c r="D14" i="12" s="1"/>
  <c r="C17" i="12" l="1"/>
  <c r="D17" i="12" s="1"/>
  <c r="F14" i="12"/>
  <c r="E15" i="12"/>
  <c r="E16" i="12" s="1"/>
  <c r="D15" i="12"/>
  <c r="D16" i="12"/>
  <c r="F16" i="12" l="1"/>
  <c r="F15" i="12"/>
  <c r="E17" i="12"/>
  <c r="C18" i="12"/>
  <c r="D18" i="12" s="1"/>
  <c r="C19" i="12" l="1"/>
  <c r="D19" i="12" s="1"/>
  <c r="E18" i="12"/>
  <c r="F18" i="12" s="1"/>
  <c r="F17" i="12"/>
  <c r="E19" i="12" l="1"/>
  <c r="F19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1B32B-3EDB-49D5-A12B-701C5E303054}" keepAlive="1" name="Query - Aluminium Historical Data (1)" description="Connection to the 'Aluminium Historical Data (1)' query in the workbook." type="5" refreshedVersion="8" background="1" saveData="1">
    <dbPr connection="Provider=Microsoft.Mashup.OleDb.1;Data Source=$Workbook$;Location=&quot;Aluminium Historical Data (1)&quot;;Extended Properties=&quot;&quot;" command="SELECT * FROM [Aluminium Historical Data (1)]"/>
  </connection>
  <connection id="2" xr16:uid="{CD68B248-106E-402F-AD35-F9A5FAAF0BCC}" keepAlive="1" name="Query - Aluminium Historical Data (2)" description="Connection to the 'Aluminium Historical Data (2)' query in the workbook." type="5" refreshedVersion="8" background="1" saveData="1">
    <dbPr connection="Provider=Microsoft.Mashup.OleDb.1;Data Source=$Workbook$;Location=&quot;Aluminium Historical Data (2)&quot;;Extended Properties=&quot;&quot;" command="SELECT * FROM [Aluminium Historical Data (2)]"/>
  </connection>
  <connection id="3" xr16:uid="{30A09CAD-F33A-416E-B95F-471563C76657}" keepAlive="1" name="Query - Aluminium Historical Data (3)" description="Connection to the 'Aluminium Historical Data (3)' query in the workbook." type="5" refreshedVersion="8" background="1" saveData="1">
    <dbPr connection="Provider=Microsoft.Mashup.OleDb.1;Data Source=$Workbook$;Location=&quot;Aluminium Historical Data (3)&quot;;Extended Properties=&quot;&quot;" command="SELECT * FROM [Aluminium Historical Data (3)]"/>
  </connection>
</connections>
</file>

<file path=xl/sharedStrings.xml><?xml version="1.0" encoding="utf-8"?>
<sst xmlns="http://schemas.openxmlformats.org/spreadsheetml/2006/main" count="365" uniqueCount="225">
  <si>
    <t>Required</t>
  </si>
  <si>
    <t>Using the information provided in the workbook, complete the following tasks.</t>
  </si>
  <si>
    <t>Learning Objectives</t>
  </si>
  <si>
    <t>Upon completion of this case study, you should be able to:</t>
  </si>
  <si>
    <t>Prepare a Production Budget from an approved Sales Budget.</t>
  </si>
  <si>
    <t>Develop Material Requirement and Purchase Budgets.</t>
  </si>
  <si>
    <t>Analyze historical commodity prices to support budgeting decisions.</t>
  </si>
  <si>
    <t>Prepare a Material Cost Budget.</t>
  </si>
  <si>
    <t>Perform Budget vs Actual material cost variance analysis.</t>
  </si>
  <si>
    <t>Evaluate the financial impact of commodity price fluctuations.</t>
  </si>
  <si>
    <t>Assess the role of commodity hedging in managing procurement risk.</t>
  </si>
  <si>
    <t>Present operational and financial insights through an executive management dashboard.</t>
  </si>
  <si>
    <t>Particulars</t>
  </si>
  <si>
    <t>Assumption</t>
  </si>
  <si>
    <t>Product</t>
  </si>
  <si>
    <t>Household Aluminium Foil Roll (30 cm × 18 m)</t>
  </si>
  <si>
    <t>Financial Year</t>
  </si>
  <si>
    <t>FY2027 (April 2026 – March 2027)</t>
  </si>
  <si>
    <t>Approved Annual Sales Volume</t>
  </si>
  <si>
    <t>1,800,000 Rolls</t>
  </si>
  <si>
    <t>Opening Finished Goods Inventory</t>
  </si>
  <si>
    <t>12,000 Rolls</t>
  </si>
  <si>
    <t>Aluminium Consumption per Roll</t>
  </si>
  <si>
    <t>0.38 kg</t>
  </si>
  <si>
    <t>Normal Production Loss</t>
  </si>
  <si>
    <t>2% of Aluminium Consumption</t>
  </si>
  <si>
    <t>Opening Aluminium Inventory</t>
  </si>
  <si>
    <t>8,000 kg</t>
  </si>
  <si>
    <t>Hedging Instrument</t>
  </si>
  <si>
    <t>Aluminium Futures</t>
  </si>
  <si>
    <t>Proposed Hedge Coverage</t>
  </si>
  <si>
    <t>Production Capacity</t>
  </si>
  <si>
    <t>200,000 Rolls per Month</t>
  </si>
  <si>
    <t>Month</t>
  </si>
  <si>
    <t>Selling Price/Unit (USD)</t>
  </si>
  <si>
    <t>Sales Revenue (USD)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</si>
  <si>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</si>
  <si>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</si>
  <si>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</si>
  <si>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</si>
  <si>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</si>
  <si>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</si>
  <si>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</si>
  <si>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</si>
  <si>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</si>
  <si>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</si>
  <si>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</si>
  <si>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</si>
  <si>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</si>
  <si>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-</t>
  </si>
  <si>
    <r>
      <t xml:space="preserve"> </t>
    </r>
    <r>
      <rPr>
        <b/>
        <sz val="11"/>
        <color theme="1"/>
        <rFont val="Calibri"/>
        <family val="2"/>
        <scheme val="minor"/>
      </rPr>
      <t>15% of Next Month's Aluminium Requirement</t>
    </r>
  </si>
  <si>
    <t>10% of Next Month's Budgeted Sales</t>
  </si>
  <si>
    <t>Closing FG</t>
  </si>
  <si>
    <t>Closing RM</t>
  </si>
  <si>
    <t>Budgeted Sales (Rolls)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</si>
  <si>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</si>
  <si>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</si>
  <si>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</si>
  <si>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</si>
  <si>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</si>
  <si>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</si>
  <si>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</si>
  <si>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</si>
  <si>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</si>
  <si>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</si>
  <si>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</si>
  <si>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Budgeted Sales (Units)</t>
  </si>
  <si>
    <t>Add: Desired Closing FG Inventory</t>
  </si>
  <si>
    <t>Total Requirements</t>
  </si>
  <si>
    <t>Less: Opening FG Inventory</t>
  </si>
  <si>
    <t>Required Production (Units)</t>
  </si>
  <si>
    <t>Production (Units)</t>
  </si>
  <si>
    <t>Aluminium per Unit (kg)</t>
  </si>
  <si>
    <t>Basic Aluminium Requirement (kg)</t>
  </si>
  <si>
    <t>Add: Production Loss (2%)</t>
  </si>
  <si>
    <t>Total Aluminium Requirement (kg)</t>
  </si>
  <si>
    <t>Material Requirement (kg)</t>
  </si>
  <si>
    <t>Add: Desired Closing RM Inventory</t>
  </si>
  <si>
    <t>Total Material Required</t>
  </si>
  <si>
    <t>Less: Opening RM Inventory</t>
  </si>
  <si>
    <t>Material Purchases (kg)</t>
  </si>
  <si>
    <t>Material Purchases (in tonnes)</t>
  </si>
  <si>
    <t>Date</t>
  </si>
  <si>
    <t>Price</t>
  </si>
  <si>
    <t>Open</t>
  </si>
  <si>
    <t>Change %</t>
  </si>
  <si>
    <t>Sum of Change %</t>
  </si>
  <si>
    <t>Row Labels</t>
  </si>
  <si>
    <t>Grand Total</t>
  </si>
  <si>
    <t>2023</t>
  </si>
  <si>
    <t>2024</t>
  </si>
  <si>
    <t>2025</t>
  </si>
  <si>
    <t>2026</t>
  </si>
  <si>
    <t>Column Labels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</si>
  <si>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</si>
  <si>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</si>
  <si>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</si>
  <si>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</si>
  <si>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</si>
  <si>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</si>
  <si>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</si>
  <si>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</si>
  <si>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</si>
  <si>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</si>
  <si>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</si>
  <si>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</si>
  <si>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</si>
  <si>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Statistics</t>
  </si>
  <si>
    <t>Standard Deviation (annualised)</t>
  </si>
  <si>
    <t>Weight</t>
  </si>
  <si>
    <t>Close</t>
  </si>
  <si>
    <t>Actuals</t>
  </si>
  <si>
    <t>Forecast</t>
  </si>
  <si>
    <t>Last close</t>
  </si>
  <si>
    <t>S.D</t>
  </si>
  <si>
    <t>Upper Range (1 SD)</t>
  </si>
  <si>
    <t>Lower Range (1 SD)</t>
  </si>
  <si>
    <t>Upper Range (2 SD)</t>
  </si>
  <si>
    <t>Lower Range (2 SD)</t>
  </si>
  <si>
    <t>Regression forecast</t>
  </si>
  <si>
    <t>3 month moving avg</t>
  </si>
  <si>
    <t>6 month moving avg</t>
  </si>
  <si>
    <t>Contract Size (in tonnes)</t>
  </si>
  <si>
    <t>Hedge %</t>
  </si>
  <si>
    <t>Hedge quantity (in tonnes)</t>
  </si>
  <si>
    <t xml:space="preserve">No of contracts </t>
  </si>
  <si>
    <t>Rounded off</t>
  </si>
  <si>
    <t>Under/Over Hedging</t>
  </si>
  <si>
    <t>Capacity utilization</t>
  </si>
  <si>
    <t>Material Purchase (in tonnes)</t>
  </si>
  <si>
    <t>Budgeted Cost per tonne</t>
  </si>
  <si>
    <t>Total Material Cost</t>
  </si>
  <si>
    <t>Q1 Total</t>
  </si>
  <si>
    <t>Actual Production (Rolls)</t>
  </si>
  <si>
    <t>Actual Aluminium Used (kg)</t>
  </si>
  <si>
    <t>Actual Purchases (kg)</t>
  </si>
  <si>
    <t>Actual Avg Price (USD/t)</t>
  </si>
  <si>
    <t>Aluminium prices</t>
  </si>
  <si>
    <t>Budgeted</t>
  </si>
  <si>
    <t>Actual</t>
  </si>
  <si>
    <t>Total Aluminium Requirement (in tonnes)</t>
  </si>
  <si>
    <t>Variance amount</t>
  </si>
  <si>
    <t>Variance %</t>
  </si>
  <si>
    <t>Buy price</t>
  </si>
  <si>
    <t>Sell price</t>
  </si>
  <si>
    <t>Contracts</t>
  </si>
  <si>
    <t>Buy value</t>
  </si>
  <si>
    <t>Sell Value</t>
  </si>
  <si>
    <t>Profit/Loss</t>
  </si>
  <si>
    <t>Net P&amp;L</t>
  </si>
  <si>
    <t>Hedge for</t>
  </si>
  <si>
    <t xml:space="preserve"> Avg Cost per tonne</t>
  </si>
  <si>
    <t>Contract Size</t>
  </si>
  <si>
    <t>Number of Contracts</t>
  </si>
  <si>
    <t>Parameter</t>
  </si>
  <si>
    <t>Specification</t>
  </si>
  <si>
    <t>Contract Name</t>
  </si>
  <si>
    <t>LME Aluminium Futures Contract</t>
  </si>
  <si>
    <t>Underlying Asset</t>
  </si>
  <si>
    <t>Primary Aluminium</t>
  </si>
  <si>
    <t>Exchange</t>
  </si>
  <si>
    <t>London Metal Exchange (LME)</t>
  </si>
  <si>
    <t>25 Metric Tonnes (MT)</t>
  </si>
  <si>
    <t>Contract Type</t>
  </si>
  <si>
    <t>Futures Contract</t>
  </si>
  <si>
    <t>Position Taken</t>
  </si>
  <si>
    <t>Long Hedge (Buyer)</t>
  </si>
  <si>
    <t>Pricing Unit</t>
  </si>
  <si>
    <t>USD per Metric Tonne (USD/MT)</t>
  </si>
  <si>
    <t>Settlement Method</t>
  </si>
  <si>
    <r>
      <t xml:space="preserve">Cash Settlement </t>
    </r>
    <r>
      <rPr>
        <i/>
        <sz val="11"/>
        <color theme="1"/>
        <rFont val="Calibri"/>
        <family val="2"/>
        <scheme val="minor"/>
      </rPr>
      <t>(assumed for this model)</t>
    </r>
  </si>
  <si>
    <t>Hedging Horizon</t>
  </si>
  <si>
    <t>One Month Ahead</t>
  </si>
  <si>
    <t>Contract Expiry</t>
  </si>
  <si>
    <t>Matching Purchase Month</t>
  </si>
  <si>
    <t>Hedge Ratio</t>
  </si>
  <si>
    <t>100% of Forecast Aluminium Requirement</t>
  </si>
  <si>
    <t>Forecast Requirement (MT) ÷ 25 MT</t>
  </si>
  <si>
    <t>Price Reference</t>
  </si>
  <si>
    <t>LME Official Cash Aluminium Price</t>
  </si>
  <si>
    <t>Procurement Timing</t>
  </si>
  <si>
    <t>Beginning of Purchase Month</t>
  </si>
  <si>
    <t>Purpose</t>
  </si>
  <si>
    <t xml:space="preserve">To hedge aluminium price risk arising </t>
  </si>
  <si>
    <t>from raw material purchases</t>
  </si>
  <si>
    <t>100% of Aluminium Purchases</t>
  </si>
  <si>
    <t>*We hedge for the next month purchase in the current month contract so we can purchase next month requirement at the start</t>
  </si>
  <si>
    <t>Note : Previous month first day price is taken as the budgeted price for the next month as hedging position taken for the month at that time</t>
  </si>
  <si>
    <t>Expected budgeted price</t>
  </si>
  <si>
    <t>Hedging Review</t>
  </si>
  <si>
    <t>Budget vs Actual - Variance analysis</t>
  </si>
  <si>
    <t>Actual results</t>
  </si>
  <si>
    <t>Variance with standard cost</t>
  </si>
  <si>
    <t>Standard cost for actual material quantity</t>
  </si>
  <si>
    <t>MPV (Std)</t>
  </si>
  <si>
    <t>MPV (A)</t>
  </si>
  <si>
    <t>Initial Hedging Budget and Details</t>
  </si>
  <si>
    <t>Price predictions</t>
  </si>
  <si>
    <t>Materials Budget</t>
  </si>
  <si>
    <t>Production Budget</t>
  </si>
  <si>
    <t>Approved Sales Budget and Other Assumptions</t>
  </si>
  <si>
    <t>Month data</t>
  </si>
  <si>
    <t>Aluminium Price Data Insights</t>
  </si>
  <si>
    <t xml:space="preserve"> Production Budget, Material Planning &amp; Commodity Price Risk Analysis</t>
  </si>
  <si>
    <t xml:space="preserve">AluWrap Industries Ltd. is a leading manufacturer of household and commercial aluminium foil products supplied to supermarkets, food packaging companies, hotels, restaurants, and pharmaceutical manufacturers across India. </t>
  </si>
  <si>
    <t>The company operates a centralized manufacturing facility where aluminium foil rolls are produced based on customer demand forecasts prepared by the Sales and Marketing team.</t>
  </si>
  <si>
    <t>and material procurement plans to ensure uninterrupted manufacturing while maintaining optimal inventory levels.</t>
  </si>
  <si>
    <t>Since aluminium prices are linked to international commodity markets and are subject to significant volatility, fluctuations in prices can materially impact production costs, gross margins, and overall profitability.</t>
  </si>
  <si>
    <t>Management expects the FP&amp;A team to analyze historical price movements, identify pricing trends, evaluate commodity price volatility, and recommend an appropriate budget price for FY2027 procurement planning.</t>
  </si>
  <si>
    <t>Management would like to understand the potential financial impact of hedging compared with remaining fully exposed to market prices.</t>
  </si>
  <si>
    <t xml:space="preserve">As an FP&amp;A Analyst, you have been assigned to prepare the production and procurement budgets, analyze historical aluminium prices, assess the impact of commodity price fluctuations on material costs, and </t>
  </si>
  <si>
    <t>provide recommendations to support procurement and treasury decisions.</t>
  </si>
  <si>
    <t>Perform a variance analysis on the Q1 actuals data and find out the efficiency of the hedge</t>
  </si>
  <si>
    <t>Historical Aluminium Price Analysis</t>
  </si>
  <si>
    <t>Material Requirement Budget</t>
  </si>
  <si>
    <t>Material Purchase Budget</t>
  </si>
  <si>
    <t>Budget vs Actual Analysis</t>
  </si>
  <si>
    <t>Commodity Hedging Analysis</t>
  </si>
  <si>
    <t>Hedge effectiveness</t>
  </si>
  <si>
    <t xml:space="preserve">In addition, the Treasury team has proposed evaluating a commodity hedging strategy using aluminium futures to mitigate the impact of adverse price movements.  </t>
  </si>
  <si>
    <t>They hedge for the next month purchase at current month and purchases are placed with supplier on start of month for the entire requirement</t>
  </si>
  <si>
    <t>AluWrap Industries Ltd. - Business Scenario</t>
  </si>
  <si>
    <r>
      <t xml:space="preserve">The </t>
    </r>
    <r>
      <rPr>
        <b/>
        <sz val="12"/>
        <color theme="1"/>
        <rFont val="Calibri"/>
        <family val="2"/>
        <scheme val="minor"/>
      </rPr>
      <t>FY2027 Sales Budget has already been finalized and approved</t>
    </r>
    <r>
      <rPr>
        <sz val="12"/>
        <color theme="1"/>
        <rFont val="Calibri"/>
        <family val="2"/>
        <scheme val="minor"/>
      </rPr>
      <t xml:space="preserve"> by management. Based on the approved sales forecast, the Operations, Procurement, and FP&amp;A teams must now prepare the detailed production </t>
    </r>
  </si>
  <si>
    <r>
      <t xml:space="preserve">Aluminium is the company's most significant raw material, accounting for approximately </t>
    </r>
    <r>
      <rPr>
        <b/>
        <sz val="12"/>
        <color theme="1"/>
        <rFont val="Calibri"/>
        <family val="2"/>
        <scheme val="minor"/>
      </rPr>
      <t>85% of the total raw material cost</t>
    </r>
    <r>
      <rPr>
        <sz val="12"/>
        <color theme="1"/>
        <rFont val="Calibri"/>
        <family val="2"/>
        <scheme val="minor"/>
      </rPr>
      <t xml:space="preserve">. </t>
    </r>
  </si>
  <si>
    <r>
      <t>To support the budgeting process, the FP&amp;A team has obtained 36</t>
    </r>
    <r>
      <rPr>
        <b/>
        <sz val="12"/>
        <color theme="1"/>
        <rFont val="Calibri"/>
        <family val="2"/>
        <scheme val="minor"/>
      </rPr>
      <t xml:space="preserve"> months of historical aluminium prices (USD per metric tonne)</t>
    </r>
    <r>
      <rPr>
        <sz val="12"/>
        <color theme="1"/>
        <rFont val="Calibri"/>
        <family val="2"/>
        <scheme val="minor"/>
      </rPr>
      <t xml:space="preserve"> based on London Metal Exchange (LME) market prices.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</si>
</sst>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-[$$-409]* #,##0_ ;_-[$$-409]* \-#,##0\ ;_-[$$-409]* &quot;-&quot;??_ ;_-@_ "/>
    <numFmt numFmtId="166" formatCode="_ [$₹-4009]\ * #,##0_ ;_ [$₹-4009]\ * \-#,##0_ ;_ [$₹-4009]\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-0.249977111117893"/>
        <bgColor theme="9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/>
      <right style="thin">
        <color indexed="64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43" fontId="0" fillId="0" borderId="0" xfId="1" applyFont="1"/>
    <xf numFmtId="164" fontId="3" fillId="0" borderId="0" xfId="1" applyNumberFormat="1" applyFont="1" applyAlignment="1">
      <alignment horizontal="right" vertical="center"/>
    </xf>
    <xf numFmtId="164" fontId="0" fillId="0" borderId="0" xfId="1" applyNumberFormat="1" applyFont="1"/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right" vertical="center"/>
    </xf>
    <xf numFmtId="164" fontId="2" fillId="2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right" vertical="center"/>
    </xf>
    <xf numFmtId="43" fontId="0" fillId="0" borderId="0" xfId="1" applyFon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vertical="center" wrapText="1"/>
    </xf>
    <xf numFmtId="43" fontId="3" fillId="0" borderId="3" xfId="1" applyFont="1" applyBorder="1"/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right" vertical="center" wrapText="1"/>
    </xf>
    <xf numFmtId="1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2" borderId="0" xfId="0" applyFont="1" applyFill="1"/>
    <xf numFmtId="0" fontId="3" fillId="0" borderId="1" xfId="0" applyFont="1" applyBorder="1"/>
    <xf numFmtId="10" fontId="3" fillId="0" borderId="1" xfId="2" applyNumberFormat="1" applyFont="1" applyBorder="1"/>
    <xf numFmtId="0" fontId="0" fillId="0" borderId="3" xfId="0" applyBorder="1"/>
    <xf numFmtId="10" fontId="0" fillId="0" borderId="0" xfId="2" applyNumberFormat="1" applyFont="1" applyFill="1" applyBorder="1" applyAlignment="1"/>
    <xf numFmtId="0" fontId="3" fillId="0" borderId="3" xfId="0" applyFont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4" borderId="4" xfId="0" applyNumberFormat="1" applyFill="1" applyBorder="1"/>
    <xf numFmtId="43" fontId="0" fillId="4" borderId="5" xfId="1" applyFont="1" applyFill="1" applyBorder="1"/>
    <xf numFmtId="10" fontId="0" fillId="4" borderId="6" xfId="2" applyNumberFormat="1" applyFont="1" applyFill="1" applyBorder="1"/>
    <xf numFmtId="14" fontId="0" fillId="5" borderId="4" xfId="0" applyNumberFormat="1" applyFill="1" applyBorder="1"/>
    <xf numFmtId="17" fontId="0" fillId="5" borderId="5" xfId="0" applyNumberFormat="1" applyFill="1" applyBorder="1"/>
    <xf numFmtId="43" fontId="0" fillId="5" borderId="5" xfId="1" applyFont="1" applyFill="1" applyBorder="1"/>
    <xf numFmtId="0" fontId="4" fillId="0" borderId="0" xfId="0" applyFont="1"/>
    <xf numFmtId="0" fontId="2" fillId="9" borderId="8" xfId="0" applyFont="1" applyFill="1" applyBorder="1"/>
    <xf numFmtId="0" fontId="2" fillId="9" borderId="9" xfId="0" applyFont="1" applyFill="1" applyBorder="1"/>
    <xf numFmtId="43" fontId="0" fillId="7" borderId="10" xfId="1" applyFont="1" applyFill="1" applyBorder="1"/>
    <xf numFmtId="10" fontId="0" fillId="8" borderId="10" xfId="2" applyNumberFormat="1" applyFont="1" applyFill="1" applyBorder="1"/>
    <xf numFmtId="43" fontId="0" fillId="8" borderId="10" xfId="1" applyFont="1" applyFill="1" applyBorder="1"/>
    <xf numFmtId="17" fontId="3" fillId="7" borderId="10" xfId="0" applyNumberFormat="1" applyFont="1" applyFill="1" applyBorder="1"/>
    <xf numFmtId="0" fontId="0" fillId="0" borderId="10" xfId="0" applyBorder="1"/>
    <xf numFmtId="0" fontId="0" fillId="7" borderId="0" xfId="0" applyFill="1"/>
    <xf numFmtId="0" fontId="2" fillId="6" borderId="0" xfId="0" applyFont="1" applyFill="1"/>
    <xf numFmtId="43" fontId="3" fillId="7" borderId="0" xfId="0" applyNumberFormat="1" applyFont="1" applyFill="1"/>
    <xf numFmtId="0" fontId="2" fillId="7" borderId="0" xfId="0" applyFont="1" applyFill="1"/>
    <xf numFmtId="10" fontId="7" fillId="7" borderId="0" xfId="2" applyNumberFormat="1" applyFont="1" applyFill="1"/>
    <xf numFmtId="0" fontId="7" fillId="7" borderId="0" xfId="0" applyFont="1" applyFill="1"/>
    <xf numFmtId="0" fontId="2" fillId="2" borderId="10" xfId="0" applyFont="1" applyFill="1" applyBorder="1"/>
    <xf numFmtId="43" fontId="1" fillId="7" borderId="10" xfId="1" applyFont="1" applyFill="1" applyBorder="1"/>
    <xf numFmtId="43" fontId="7" fillId="7" borderId="10" xfId="1" applyFont="1" applyFill="1" applyBorder="1"/>
    <xf numFmtId="10" fontId="7" fillId="7" borderId="10" xfId="2" applyNumberFormat="1" applyFont="1" applyFill="1" applyBorder="1"/>
    <xf numFmtId="0" fontId="2" fillId="9" borderId="20" xfId="0" applyFont="1" applyFill="1" applyBorder="1"/>
    <xf numFmtId="0" fontId="2" fillId="9" borderId="21" xfId="0" applyFont="1" applyFill="1" applyBorder="1"/>
    <xf numFmtId="43" fontId="0" fillId="0" borderId="14" xfId="1" applyFont="1" applyBorder="1"/>
    <xf numFmtId="10" fontId="0" fillId="0" borderId="15" xfId="2" applyNumberFormat="1" applyFont="1" applyBorder="1"/>
    <xf numFmtId="43" fontId="0" fillId="0" borderId="16" xfId="1" applyFont="1" applyBorder="1"/>
    <xf numFmtId="10" fontId="0" fillId="0" borderId="17" xfId="2" applyNumberFormat="1" applyFont="1" applyBorder="1"/>
    <xf numFmtId="0" fontId="0" fillId="0" borderId="14" xfId="0" applyBorder="1"/>
    <xf numFmtId="0" fontId="0" fillId="0" borderId="16" xfId="0" applyBorder="1"/>
    <xf numFmtId="17" fontId="0" fillId="0" borderId="15" xfId="0" applyNumberFormat="1" applyBorder="1"/>
    <xf numFmtId="17" fontId="0" fillId="0" borderId="17" xfId="0" applyNumberFormat="1" applyBorder="1"/>
    <xf numFmtId="9" fontId="0" fillId="0" borderId="0" xfId="1" applyNumberFormat="1" applyFont="1"/>
    <xf numFmtId="43" fontId="2" fillId="2" borderId="0" xfId="1" applyFont="1" applyFill="1"/>
    <xf numFmtId="17" fontId="2" fillId="2" borderId="0" xfId="1" applyNumberFormat="1" applyFont="1" applyFill="1"/>
    <xf numFmtId="165" fontId="0" fillId="0" borderId="0" xfId="1" applyNumberFormat="1" applyFont="1"/>
    <xf numFmtId="166" fontId="0" fillId="0" borderId="0" xfId="1" applyNumberFormat="1" applyFont="1"/>
    <xf numFmtId="164" fontId="8" fillId="0" borderId="0" xfId="1" applyNumberFormat="1" applyFont="1"/>
    <xf numFmtId="9" fontId="8" fillId="0" borderId="0" xfId="2" applyFont="1"/>
    <xf numFmtId="165" fontId="1" fillId="0" borderId="0" xfId="1" applyNumberFormat="1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5" fontId="0" fillId="0" borderId="0" xfId="0" applyNumberFormat="1"/>
    <xf numFmtId="4" fontId="0" fillId="0" borderId="0" xfId="0" applyNumberFormat="1"/>
    <xf numFmtId="2" fontId="0" fillId="0" borderId="0" xfId="0" applyNumberFormat="1"/>
    <xf numFmtId="164" fontId="2" fillId="2" borderId="10" xfId="1" applyNumberFormat="1" applyFont="1" applyFill="1" applyBorder="1"/>
    <xf numFmtId="164" fontId="0" fillId="0" borderId="10" xfId="1" applyNumberFormat="1" applyFont="1" applyBorder="1"/>
    <xf numFmtId="165" fontId="0" fillId="0" borderId="10" xfId="1" applyNumberFormat="1" applyFont="1" applyBorder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3" fontId="3" fillId="7" borderId="0" xfId="0" applyNumberFormat="1" applyFont="1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3" fontId="0" fillId="7" borderId="0" xfId="0" applyNumberFormat="1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14" fontId="0" fillId="7" borderId="0" xfId="0" applyNumberFormat="1" applyFill="1"/>
    <xf numFmtId="164" fontId="7" fillId="7" borderId="10" xfId="1" applyNumberFormat="1" applyFont="1" applyFill="1" applyBorder="1"/>
    <xf numFmtId="43" fontId="7" fillId="7" borderId="10" xfId="1" applyFont="1" applyFill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165" fontId="7" fillId="7" borderId="10" xfId="1" applyNumberFormat="1" applyFont="1" applyFill="1" applyBorder="1"/>
    <xf numFmtId="164" fontId="2" fillId="7" borderId="0" xfId="0" applyNumberFormat="1" applyFont="1" applyFill="1" applyAlignment="1">
      <alignment horizontal="center" vertical="center" wrapText="1"/>
    </xf>
    <xf numFmtId="164" fontId="2" fillId="7" borderId="0" xfId="0" applyNumberFormat="1" applyFont="1" applyFill="1" applyAlignment="1">
      <alignment horizontal="right" vertical="center" wrapText="1"/>
    </xf>
    <xf numFmtId="164" fontId="0" fillId="7" borderId="0" xfId="1" applyNumberFormat="1" applyFont="1" applyFill="1"/>
    <xf numFmtId="165" fontId="1" fillId="7" borderId="0" xfId="1" applyNumberFormat="1" applyFont="1" applyFill="1"/>
    <xf numFmtId="165" fontId="0" fillId="7" borderId="0" xfId="1" applyNumberFormat="1" applyFont="1" applyFill="1"/>
    <xf numFmtId="0" fontId="3" fillId="0" borderId="10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43" fontId="0" fillId="0" borderId="2" xfId="1" applyFont="1" applyBorder="1" applyAlignment="1">
      <alignment horizontal="left"/>
    </xf>
    <xf numFmtId="43" fontId="0" fillId="0" borderId="13" xfId="1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vertical="center" wrapText="1"/>
    </xf>
    <xf numFmtId="164" fontId="0" fillId="7" borderId="0" xfId="0" applyNumberFormat="1" applyFill="1" applyAlignment="1">
      <alignment vertical="center"/>
    </xf>
    <xf numFmtId="164" fontId="2" fillId="2" borderId="22" xfId="1" applyNumberFormat="1" applyFont="1" applyFill="1" applyBorder="1"/>
    <xf numFmtId="164" fontId="0" fillId="0" borderId="22" xfId="1" applyNumberFormat="1" applyFont="1" applyBorder="1"/>
    <xf numFmtId="164" fontId="2" fillId="2" borderId="28" xfId="1" applyNumberFormat="1" applyFont="1" applyFill="1" applyBorder="1"/>
    <xf numFmtId="164" fontId="2" fillId="2" borderId="29" xfId="1" applyNumberFormat="1" applyFont="1" applyFill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3" fillId="0" borderId="10" xfId="1" applyNumberFormat="1" applyFont="1" applyBorder="1"/>
    <xf numFmtId="164" fontId="3" fillId="0" borderId="22" xfId="1" applyNumberFormat="1" applyFont="1" applyBorder="1"/>
    <xf numFmtId="164" fontId="3" fillId="0" borderId="32" xfId="1" applyNumberFormat="1" applyFont="1" applyBorder="1"/>
    <xf numFmtId="164" fontId="3" fillId="0" borderId="33" xfId="1" applyNumberFormat="1" applyFont="1" applyBorder="1"/>
    <xf numFmtId="164" fontId="3" fillId="0" borderId="0" xfId="1" applyNumberFormat="1" applyFont="1" applyBorder="1"/>
    <xf numFmtId="0" fontId="6" fillId="2" borderId="0" xfId="0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9" borderId="1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43" fontId="6" fillId="2" borderId="0" xfId="1" applyFont="1" applyFill="1" applyAlignment="1">
      <alignment horizontal="center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43" fontId="0" fillId="0" borderId="26" xfId="1" applyFont="1" applyBorder="1" applyAlignment="1">
      <alignment horizontal="left"/>
    </xf>
    <xf numFmtId="43" fontId="0" fillId="0" borderId="17" xfId="1" applyFont="1" applyBorder="1" applyAlignment="1">
      <alignment horizontal="left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inden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4" fillId="2" borderId="0" xfId="0" applyFont="1" applyFill="1"/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Aluminium</a:t>
            </a:r>
            <a:r>
              <a:rPr lang="en-IN" baseline="0"/>
              <a:t> Monthly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'Aluminium Historical workings'!$N$2:$N$37</c:f>
              <c:numCache>
                <c:formatCode>_(* #,##0.00_);_(* \(#,##0.00\);_(* "-"??_);_(@_)</c:formatCode>
                <c:ptCount val="36"/>
                <c:pt idx="0">
                  <c:v>2360</c:v>
                </c:pt>
                <c:pt idx="1">
                  <c:v>2260</c:v>
                </c:pt>
                <c:pt idx="2">
                  <c:v>2155</c:v>
                </c:pt>
                <c:pt idx="3">
                  <c:v>2262</c:v>
                </c:pt>
                <c:pt idx="4">
                  <c:v>2236</c:v>
                </c:pt>
                <c:pt idx="5">
                  <c:v>2323</c:v>
                </c:pt>
                <c:pt idx="6">
                  <c:v>2247</c:v>
                </c:pt>
                <c:pt idx="7">
                  <c:v>2187</c:v>
                </c:pt>
                <c:pt idx="8">
                  <c:v>2384</c:v>
                </c:pt>
                <c:pt idx="9">
                  <c:v>2251</c:v>
                </c:pt>
                <c:pt idx="10">
                  <c:v>2225</c:v>
                </c:pt>
                <c:pt idx="11">
                  <c:v>2370</c:v>
                </c:pt>
                <c:pt idx="12">
                  <c:v>2572</c:v>
                </c:pt>
                <c:pt idx="13">
                  <c:v>2672</c:v>
                </c:pt>
                <c:pt idx="14">
                  <c:v>2535</c:v>
                </c:pt>
                <c:pt idx="15">
                  <c:v>2317</c:v>
                </c:pt>
                <c:pt idx="16">
                  <c:v>2454</c:v>
                </c:pt>
                <c:pt idx="17">
                  <c:v>2600</c:v>
                </c:pt>
                <c:pt idx="18">
                  <c:v>2627</c:v>
                </c:pt>
                <c:pt idx="19">
                  <c:v>2601</c:v>
                </c:pt>
                <c:pt idx="20">
                  <c:v>2554</c:v>
                </c:pt>
                <c:pt idx="21">
                  <c:v>2576.3000000000002</c:v>
                </c:pt>
                <c:pt idx="22">
                  <c:v>2606.6999999999998</c:v>
                </c:pt>
                <c:pt idx="23">
                  <c:v>2538.8000000000002</c:v>
                </c:pt>
                <c:pt idx="24">
                  <c:v>2399.5500000000002</c:v>
                </c:pt>
                <c:pt idx="25">
                  <c:v>2432.6</c:v>
                </c:pt>
                <c:pt idx="26">
                  <c:v>2607.1</c:v>
                </c:pt>
                <c:pt idx="27">
                  <c:v>2571.4</c:v>
                </c:pt>
                <c:pt idx="28">
                  <c:v>2610.8000000000002</c:v>
                </c:pt>
                <c:pt idx="29">
                  <c:v>2691.65</c:v>
                </c:pt>
                <c:pt idx="30">
                  <c:v>2907.1</c:v>
                </c:pt>
                <c:pt idx="31">
                  <c:v>2878.3</c:v>
                </c:pt>
                <c:pt idx="32">
                  <c:v>2997.6</c:v>
                </c:pt>
                <c:pt idx="33">
                  <c:v>3030.75</c:v>
                </c:pt>
                <c:pt idx="34">
                  <c:v>3228.15</c:v>
                </c:pt>
                <c:pt idx="35">
                  <c:v>3442.1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8-4764-9479-C076A7FF85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insights'!$F$3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8-4764-9479-C076A7FF853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insights'!$F$3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58-4764-9479-C076A7FF853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'Aluminium Historical workings'!$P$2:$P$37</c:f>
              <c:numCache>
                <c:formatCode>General</c:formatCode>
                <c:ptCount val="36"/>
                <c:pt idx="0">
                  <c:v>2547</c:v>
                </c:pt>
                <c:pt idx="1">
                  <c:v>2547</c:v>
                </c:pt>
                <c:pt idx="2">
                  <c:v>2547</c:v>
                </c:pt>
                <c:pt idx="3">
                  <c:v>2547</c:v>
                </c:pt>
                <c:pt idx="4">
                  <c:v>2547</c:v>
                </c:pt>
                <c:pt idx="5">
                  <c:v>2547</c:v>
                </c:pt>
                <c:pt idx="6">
                  <c:v>2547</c:v>
                </c:pt>
                <c:pt idx="7">
                  <c:v>2547</c:v>
                </c:pt>
                <c:pt idx="8">
                  <c:v>2547</c:v>
                </c:pt>
                <c:pt idx="9">
                  <c:v>2547</c:v>
                </c:pt>
                <c:pt idx="10">
                  <c:v>2547</c:v>
                </c:pt>
                <c:pt idx="11">
                  <c:v>2547</c:v>
                </c:pt>
                <c:pt idx="12">
                  <c:v>2547</c:v>
                </c:pt>
                <c:pt idx="13">
                  <c:v>2547</c:v>
                </c:pt>
                <c:pt idx="14">
                  <c:v>2547</c:v>
                </c:pt>
                <c:pt idx="15">
                  <c:v>2547</c:v>
                </c:pt>
                <c:pt idx="16">
                  <c:v>2547</c:v>
                </c:pt>
                <c:pt idx="17">
                  <c:v>2547</c:v>
                </c:pt>
                <c:pt idx="18">
                  <c:v>2547</c:v>
                </c:pt>
                <c:pt idx="19">
                  <c:v>2547</c:v>
                </c:pt>
                <c:pt idx="20">
                  <c:v>2547</c:v>
                </c:pt>
                <c:pt idx="21">
                  <c:v>2547</c:v>
                </c:pt>
                <c:pt idx="22">
                  <c:v>2547</c:v>
                </c:pt>
                <c:pt idx="23">
                  <c:v>2547</c:v>
                </c:pt>
                <c:pt idx="24">
                  <c:v>2547</c:v>
                </c:pt>
                <c:pt idx="25">
                  <c:v>2547</c:v>
                </c:pt>
                <c:pt idx="26">
                  <c:v>2547</c:v>
                </c:pt>
                <c:pt idx="27">
                  <c:v>2547</c:v>
                </c:pt>
                <c:pt idx="28">
                  <c:v>2547</c:v>
                </c:pt>
                <c:pt idx="29">
                  <c:v>2547</c:v>
                </c:pt>
                <c:pt idx="30">
                  <c:v>2547</c:v>
                </c:pt>
                <c:pt idx="31">
                  <c:v>2547</c:v>
                </c:pt>
                <c:pt idx="32">
                  <c:v>2547</c:v>
                </c:pt>
                <c:pt idx="33">
                  <c:v>2547</c:v>
                </c:pt>
                <c:pt idx="34">
                  <c:v>2547</c:v>
                </c:pt>
                <c:pt idx="35">
                  <c:v>2547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58-4764-9479-C076A7FF8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8320"/>
        <c:axId val="211108800"/>
      </c:lineChart>
      <c:catAx>
        <c:axId val="21110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211108800"/>
        <c:crosses val="autoZero"/>
        <c:auto val="1"/>
        <c:lblAlgn val="ctr"/>
        <c:lblOffset val="100"/>
        <c:noMultiLvlLbl val="0"/>
      </c:catAx>
      <c:valAx>
        <c:axId val="211108800"/>
        <c:scaling>
          <c:orientation val="minMax"/>
          <c:min val="2000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2</xdr:row>
      <xdr:rowOff>0</xdr:rowOff>
    </xdr:from>
    <xdr:to>
      <xdr:col>14</xdr:col>
      <xdr:colOff>68580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7CB5C-A3ED-42AA-AFF0-669B2398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vardhaan Chandrasekaran" refreshedDate="46229.845778587965" createdVersion="8" refreshedVersion="8" minRefreshableVersion="3" recordCount="757" xr:uid="{CF03B959-F800-4BB5-997D-102E9B98185C}">
  <cacheSource type="worksheet">
    <worksheetSource name="Aluminium_Historical_Data__2"/>
  </cacheSource>
  <cacheFields count="6">
    <cacheField name="Date" numFmtId="14">
      <sharedItems containsSemiMixedTypes="0" containsNonDate="0" containsDate="1" containsString="0" minDate="2023-04-03T00:00:00" maxDate="2026-04-01T00:00:00" count="757">
        <d v="2023-04-03T00:00:00"/>
        <d v="2023-04-04T00:00:00"/>
        <d v="2023-04-05T00:00:00"/>
        <d v="2023-04-06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</sharedItems>
      <fieldGroup par="5"/>
    </cacheField>
    <cacheField name="Price" numFmtId="43">
      <sharedItems containsSemiMixedTypes="0" containsString="0" containsNumber="1" minValue="2117" maxValue="3519.35"/>
    </cacheField>
    <cacheField name="Change %" numFmtId="10">
      <sharedItems containsSemiMixedTypes="0" containsString="0" containsNumber="1" minValue="-5.0700000000000002E-2" maxValue="5.2900000000000003E-2"/>
    </cacheField>
    <cacheField name="Months (Date)" numFmtId="0" databaseField="0">
      <fieldGroup base="0">
        <rangePr groupBy="months" startDate="2023-04-03T00:00:00" endDate="2026-04-01T00:00:00"/>
        <groupItems count="14">
          <s v="&lt;03-04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  <cacheField name="Quarters (Date)" numFmtId="0" databaseField="0">
      <fieldGroup base="0">
        <rangePr groupBy="quarters" startDate="2023-04-03T00:00:00" endDate="2026-04-01T00:00:00"/>
        <groupItems count="6">
          <s v="&lt;03-04-2023"/>
          <s v="Qtr1"/>
          <s v="Qtr2"/>
          <s v="Qtr3"/>
          <s v="Qtr4"/>
          <s v="&gt;01-04-2026"/>
        </groupItems>
      </fieldGroup>
    </cacheField>
    <cacheField name="Years (Date)" numFmtId="0" databaseField="0">
      <fieldGroup base="0">
        <rangePr groupBy="years" startDate="2023-04-03T00:00:00" endDate="2026-04-01T00:00:00"/>
        <groupItems count="6">
          <s v="&lt;03-04-2023"/>
          <s v="2023"/>
          <s v="2024"/>
          <s v="2025"/>
          <s v="2026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vardhaan Chandrasekaran" refreshedDate="46229.862842939816" createdVersion="8" refreshedVersion="8" minRefreshableVersion="3" recordCount="36" xr:uid="{E49AECA3-42E8-41FE-821C-AB9C4B213633}">
  <cacheSource type="worksheet">
    <worksheetSource ref="L1:O37" sheet="Aluminium Historical workings"/>
  </cacheSource>
  <cacheFields count="7">
    <cacheField name="Date" numFmtId="14">
      <sharedItems containsSemiMixedTypes="0" containsNonDate="0" containsDate="1" containsString="0" minDate="2023-04-30T00:00:00" maxDate="2026-04-01T00:00:00"/>
    </cacheField>
    <cacheField name="Month" numFmtId="17">
      <sharedItems containsSemiMixedTypes="0" containsNonDate="0" containsDate="1" containsString="0" minDate="2023-04-01T00:00:00" maxDate="2026-03-02T00:00:00" count="36"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  <fieldGroup par="6"/>
    </cacheField>
    <cacheField name="Open" numFmtId="43">
      <sharedItems containsSemiMixedTypes="0" containsString="0" containsNumber="1" minValue="2155" maxValue="3442.1"/>
    </cacheField>
    <cacheField name="Change %" numFmtId="10">
      <sharedItems containsSemiMixedTypes="0" containsString="0" containsNumber="1" minValue="-8.5996055226824464E-2" maxValue="9.0077732053040691E-2"/>
    </cacheField>
    <cacheField name="Months (Month)" numFmtId="0" databaseField="0">
      <fieldGroup base="1">
        <rangePr groupBy="months" startDate="2023-04-01T00:00:00" endDate="2026-03-02T00:00:00"/>
        <groupItems count="14">
          <s v="&lt;01-04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6"/>
        </groupItems>
      </fieldGroup>
    </cacheField>
    <cacheField name="Quarters (Month)" numFmtId="0" databaseField="0">
      <fieldGroup base="1">
        <rangePr groupBy="quarters" startDate="2023-04-01T00:00:00" endDate="2026-03-02T00:00:00"/>
        <groupItems count="6">
          <s v="&lt;01-04-2023"/>
          <s v="Qtr1"/>
          <s v="Qtr2"/>
          <s v="Qtr3"/>
          <s v="Qtr4"/>
          <s v="&gt;02-03-2026"/>
        </groupItems>
      </fieldGroup>
    </cacheField>
    <cacheField name="Years (Month)" numFmtId="0" databaseField="0">
      <fieldGroup base="1">
        <rangePr groupBy="years" startDate="2023-04-01T00:00:00" endDate="2026-03-02T00:00:00"/>
        <groupItems count="6">
          <s v="&lt;01-04-2023"/>
          <s v="2023"/>
          <s v="2024"/>
          <s v="2025"/>
          <s v="2026"/>
          <s v="&gt;02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">
  <r>
    <x v="0"/>
    <n v="2397.5"/>
    <n v="-6.4000000000000003E-3"/>
  </r>
  <r>
    <x v="1"/>
    <n v="2370.5"/>
    <n v="-1.1299999999999999E-2"/>
  </r>
  <r>
    <x v="2"/>
    <n v="2333.5"/>
    <n v="-1.5599999999999999E-2"/>
  </r>
  <r>
    <x v="3"/>
    <n v="2333.5"/>
    <n v="0"/>
  </r>
  <r>
    <x v="4"/>
    <n v="2302.5"/>
    <n v="-1.3299999999999999E-2"/>
  </r>
  <r>
    <x v="5"/>
    <n v="2325"/>
    <n v="9.7999999999999997E-3"/>
  </r>
  <r>
    <x v="6"/>
    <n v="2367"/>
    <n v="1.8100000000000002E-2"/>
  </r>
  <r>
    <x v="7"/>
    <n v="2385.5"/>
    <n v="7.7999999999999996E-3"/>
  </r>
  <r>
    <x v="8"/>
    <n v="2378.5"/>
    <n v="-2.8999999999999998E-3"/>
  </r>
  <r>
    <x v="9"/>
    <n v="2437"/>
    <n v="2.46E-2"/>
  </r>
  <r>
    <x v="10"/>
    <n v="2445"/>
    <n v="3.3E-3"/>
  </r>
  <r>
    <x v="11"/>
    <n v="2421"/>
    <n v="-9.7999999999999997E-3"/>
  </r>
  <r>
    <x v="12"/>
    <n v="2396.5"/>
    <n v="-1.01E-2"/>
  </r>
  <r>
    <x v="13"/>
    <n v="2381"/>
    <n v="-6.4999999999999997E-3"/>
  </r>
  <r>
    <x v="14"/>
    <n v="2335.5"/>
    <n v="-1.9099999999999999E-2"/>
  </r>
  <r>
    <x v="15"/>
    <n v="2327"/>
    <n v="-3.5999999999999999E-3"/>
  </r>
  <r>
    <x v="16"/>
    <n v="2319"/>
    <n v="-3.3999999999999998E-3"/>
  </r>
  <r>
    <x v="17"/>
    <n v="2356"/>
    <n v="1.6E-2"/>
  </r>
  <r>
    <x v="18"/>
    <n v="2366.5"/>
    <n v="4.4999999999999997E-3"/>
  </r>
  <r>
    <x v="19"/>
    <n v="2321"/>
    <n v="-1.9199999999999998E-2"/>
  </r>
  <r>
    <x v="20"/>
    <n v="2287"/>
    <n v="-1.46E-2"/>
  </r>
  <r>
    <x v="21"/>
    <n v="2318.5"/>
    <n v="1.38E-2"/>
  </r>
  <r>
    <x v="22"/>
    <n v="2320"/>
    <n v="5.9999999999999995E-4"/>
  </r>
  <r>
    <x v="23"/>
    <n v="2268"/>
    <n v="-2.24E-2"/>
  </r>
  <r>
    <x v="24"/>
    <n v="2211"/>
    <n v="-2.5100000000000001E-2"/>
  </r>
  <r>
    <x v="25"/>
    <n v="2231.5"/>
    <n v="9.2999999999999992E-3"/>
  </r>
  <r>
    <x v="26"/>
    <n v="2259.5"/>
    <n v="1.2500000000000001E-2"/>
  </r>
  <r>
    <x v="27"/>
    <n v="2259.5"/>
    <n v="0"/>
  </r>
  <r>
    <x v="28"/>
    <n v="2296.5"/>
    <n v="1.6400000000000001E-2"/>
  </r>
  <r>
    <x v="29"/>
    <n v="2283.5"/>
    <n v="-5.7000000000000002E-3"/>
  </r>
  <r>
    <x v="30"/>
    <n v="2283.5"/>
    <n v="0"/>
  </r>
  <r>
    <x v="31"/>
    <n v="2263.5"/>
    <n v="-8.8000000000000005E-3"/>
  </r>
  <r>
    <x v="32"/>
    <n v="2227"/>
    <n v="-1.61E-2"/>
  </r>
  <r>
    <x v="33"/>
    <n v="2205"/>
    <n v="-9.9000000000000008E-3"/>
  </r>
  <r>
    <x v="34"/>
    <n v="2231"/>
    <n v="1.18E-2"/>
  </r>
  <r>
    <x v="35"/>
    <n v="2237.5"/>
    <n v="2.8999999999999998E-3"/>
  </r>
  <r>
    <x v="36"/>
    <n v="2224"/>
    <n v="-6.0000000000000001E-3"/>
  </r>
  <r>
    <x v="37"/>
    <n v="2246"/>
    <n v="9.9000000000000008E-3"/>
  </r>
  <r>
    <x v="38"/>
    <n v="2282.5"/>
    <n v="1.6299999999999999E-2"/>
  </r>
  <r>
    <x v="39"/>
    <n v="2263.5"/>
    <n v="-8.3000000000000001E-3"/>
  </r>
  <r>
    <x v="40"/>
    <n v="2244"/>
    <n v="-8.6E-3"/>
  </r>
  <r>
    <x v="41"/>
    <n v="2210"/>
    <n v="-1.52E-2"/>
  </r>
  <r>
    <x v="42"/>
    <n v="2219"/>
    <n v="4.1000000000000003E-3"/>
  </r>
  <r>
    <x v="43"/>
    <n v="2254.5"/>
    <n v="1.6E-2"/>
  </r>
  <r>
    <x v="44"/>
    <n v="2268"/>
    <n v="6.0000000000000001E-3"/>
  </r>
  <r>
    <x v="45"/>
    <n v="2228"/>
    <n v="-1.7600000000000001E-2"/>
  </r>
  <r>
    <x v="46"/>
    <n v="2232"/>
    <n v="1.8E-3"/>
  </r>
  <r>
    <x v="47"/>
    <n v="2253.5"/>
    <n v="9.5999999999999992E-3"/>
  </r>
  <r>
    <x v="48"/>
    <n v="2249.5"/>
    <n v="-1.8E-3"/>
  </r>
  <r>
    <x v="49"/>
    <n v="2271"/>
    <n v="9.5999999999999992E-3"/>
  </r>
  <r>
    <x v="50"/>
    <n v="2241"/>
    <n v="-1.32E-2"/>
  </r>
  <r>
    <x v="51"/>
    <n v="2230"/>
    <n v="-4.8999999999999998E-3"/>
  </r>
  <r>
    <x v="52"/>
    <n v="2223"/>
    <n v="-3.0999999999999999E-3"/>
  </r>
  <r>
    <x v="53"/>
    <n v="2201"/>
    <n v="-9.9000000000000008E-3"/>
  </r>
  <r>
    <x v="54"/>
    <n v="2174.5"/>
    <n v="-1.2E-2"/>
  </r>
  <r>
    <x v="55"/>
    <n v="2148.5"/>
    <n v="-1.2E-2"/>
  </r>
  <r>
    <x v="56"/>
    <n v="2195"/>
    <n v="2.1600000000000001E-2"/>
  </r>
  <r>
    <x v="57"/>
    <n v="2173.5"/>
    <n v="-9.7999999999999997E-3"/>
  </r>
  <r>
    <x v="58"/>
    <n v="2160"/>
    <n v="-6.1999999999999998E-3"/>
  </r>
  <r>
    <x v="59"/>
    <n v="2151.5"/>
    <n v="-3.8999999999999998E-3"/>
  </r>
  <r>
    <x v="60"/>
    <n v="2157.5"/>
    <n v="2.8E-3"/>
  </r>
  <r>
    <x v="61"/>
    <n v="2167.5"/>
    <n v="4.5999999999999999E-3"/>
  </r>
  <r>
    <x v="62"/>
    <n v="2142.5"/>
    <n v="-1.15E-2"/>
  </r>
  <r>
    <x v="63"/>
    <n v="2129"/>
    <n v="-6.3E-3"/>
  </r>
  <r>
    <x v="64"/>
    <n v="2145.5"/>
    <n v="7.7999999999999996E-3"/>
  </r>
  <r>
    <x v="65"/>
    <n v="2147"/>
    <n v="6.9999999999999999E-4"/>
  </r>
  <r>
    <x v="66"/>
    <n v="2168.5"/>
    <n v="0.01"/>
  </r>
  <r>
    <x v="67"/>
    <n v="2236"/>
    <n v="3.1099999999999999E-2"/>
  </r>
  <r>
    <x v="68"/>
    <n v="2278"/>
    <n v="1.8800000000000001E-2"/>
  </r>
  <r>
    <x v="69"/>
    <n v="2276.5"/>
    <n v="-6.9999999999999999E-4"/>
  </r>
  <r>
    <x v="70"/>
    <n v="2255"/>
    <n v="-9.4000000000000004E-3"/>
  </r>
  <r>
    <x v="71"/>
    <n v="2203.5"/>
    <n v="-2.2800000000000001E-2"/>
  </r>
  <r>
    <x v="72"/>
    <n v="2190.5"/>
    <n v="-5.8999999999999999E-3"/>
  </r>
  <r>
    <x v="73"/>
    <n v="2201"/>
    <n v="4.7999999999999996E-3"/>
  </r>
  <r>
    <x v="74"/>
    <n v="2204.5"/>
    <n v="1.6000000000000001E-3"/>
  </r>
  <r>
    <x v="75"/>
    <n v="2209"/>
    <n v="2E-3"/>
  </r>
  <r>
    <x v="76"/>
    <n v="2240"/>
    <n v="1.4E-2"/>
  </r>
  <r>
    <x v="77"/>
    <n v="2213"/>
    <n v="-1.21E-2"/>
  </r>
  <r>
    <x v="78"/>
    <n v="2205"/>
    <n v="-3.5999999999999999E-3"/>
  </r>
  <r>
    <x v="79"/>
    <n v="2222"/>
    <n v="7.7000000000000002E-3"/>
  </r>
  <r>
    <x v="80"/>
    <n v="2282.5"/>
    <n v="2.7199999999999998E-2"/>
  </r>
  <r>
    <x v="81"/>
    <n v="2255.5"/>
    <n v="-1.18E-2"/>
  </r>
  <r>
    <x v="82"/>
    <n v="2209"/>
    <n v="-2.06E-2"/>
  </r>
  <r>
    <x v="83"/>
    <n v="2230"/>
    <n v="9.4999999999999998E-3"/>
  </r>
  <r>
    <x v="84"/>
    <n v="2232.5"/>
    <n v="1.1000000000000001E-3"/>
  </r>
  <r>
    <x v="85"/>
    <n v="2230"/>
    <n v="-1.1000000000000001E-3"/>
  </r>
  <r>
    <x v="86"/>
    <n v="2200.5"/>
    <n v="-1.32E-2"/>
  </r>
  <r>
    <x v="87"/>
    <n v="2195"/>
    <n v="-2.5000000000000001E-3"/>
  </r>
  <r>
    <x v="88"/>
    <n v="2204"/>
    <n v="4.1000000000000003E-3"/>
  </r>
  <r>
    <x v="89"/>
    <n v="2175.5"/>
    <n v="-1.29E-2"/>
  </r>
  <r>
    <x v="90"/>
    <n v="2146"/>
    <n v="-1.3599999999999999E-2"/>
  </r>
  <r>
    <x v="91"/>
    <n v="2142.5"/>
    <n v="-1.6000000000000001E-3"/>
  </r>
  <r>
    <x v="92"/>
    <n v="2143"/>
    <n v="2.0000000000000001E-4"/>
  </r>
  <r>
    <x v="93"/>
    <n v="2145.5"/>
    <n v="1.1999999999999999E-3"/>
  </r>
  <r>
    <x v="94"/>
    <n v="2137"/>
    <n v="-4.0000000000000001E-3"/>
  </r>
  <r>
    <x v="95"/>
    <n v="2144"/>
    <n v="3.3E-3"/>
  </r>
  <r>
    <x v="96"/>
    <n v="2177"/>
    <n v="1.54E-2"/>
  </r>
  <r>
    <x v="97"/>
    <n v="2179.5"/>
    <n v="1.1000000000000001E-3"/>
  </r>
  <r>
    <x v="98"/>
    <n v="2157.5"/>
    <n v="-1.01E-2"/>
  </r>
  <r>
    <x v="99"/>
    <n v="2150.5"/>
    <n v="-3.2000000000000002E-3"/>
  </r>
  <r>
    <x v="100"/>
    <n v="2168.5"/>
    <n v="8.3999999999999995E-3"/>
  </r>
  <r>
    <x v="101"/>
    <n v="2201.5"/>
    <n v="1.52E-2"/>
  </r>
  <r>
    <x v="102"/>
    <n v="2208"/>
    <n v="3.0000000000000001E-3"/>
  </r>
  <r>
    <x v="103"/>
    <n v="2237"/>
    <n v="1.3100000000000001E-2"/>
  </r>
  <r>
    <x v="104"/>
    <n v="2212.5"/>
    <n v="-1.0999999999999999E-2"/>
  </r>
  <r>
    <x v="105"/>
    <n v="2193"/>
    <n v="-8.8000000000000005E-3"/>
  </r>
  <r>
    <x v="106"/>
    <n v="2193.5"/>
    <n v="2.0000000000000001E-4"/>
  </r>
  <r>
    <x v="107"/>
    <n v="2196"/>
    <n v="1.1000000000000001E-3"/>
  </r>
  <r>
    <x v="108"/>
    <n v="2183.5"/>
    <n v="-5.7000000000000002E-3"/>
  </r>
  <r>
    <x v="109"/>
    <n v="2205.5"/>
    <n v="1.01E-2"/>
  </r>
  <r>
    <x v="110"/>
    <n v="2196.5"/>
    <n v="-4.1000000000000003E-3"/>
  </r>
  <r>
    <x v="111"/>
    <n v="2217.5"/>
    <n v="9.5999999999999992E-3"/>
  </r>
  <r>
    <x v="112"/>
    <n v="2224.5"/>
    <n v="3.2000000000000002E-3"/>
  </r>
  <r>
    <x v="113"/>
    <n v="2190"/>
    <n v="-1.55E-2"/>
  </r>
  <r>
    <x v="114"/>
    <n v="2220"/>
    <n v="1.37E-2"/>
  </r>
  <r>
    <x v="115"/>
    <n v="2215.5"/>
    <n v="-2E-3"/>
  </r>
  <r>
    <x v="116"/>
    <n v="2256"/>
    <n v="1.83E-2"/>
  </r>
  <r>
    <x v="117"/>
    <n v="2212"/>
    <n v="-1.95E-2"/>
  </r>
  <r>
    <x v="118"/>
    <n v="2240.5"/>
    <n v="1.29E-2"/>
  </r>
  <r>
    <x v="119"/>
    <n v="2233.5"/>
    <n v="-3.0999999999999999E-3"/>
  </r>
  <r>
    <x v="120"/>
    <n v="2243.5"/>
    <n v="4.4999999999999997E-3"/>
  </r>
  <r>
    <x v="121"/>
    <n v="2238"/>
    <n v="-2.5000000000000001E-3"/>
  </r>
  <r>
    <x v="122"/>
    <n v="2277.5"/>
    <n v="1.7600000000000001E-2"/>
  </r>
  <r>
    <x v="123"/>
    <n v="2347"/>
    <n v="3.0499999999999999E-2"/>
  </r>
  <r>
    <x v="124"/>
    <n v="2321"/>
    <n v="-1.11E-2"/>
  </r>
  <r>
    <x v="125"/>
    <n v="2290"/>
    <n v="-1.34E-2"/>
  </r>
  <r>
    <x v="126"/>
    <n v="2246.5"/>
    <n v="-1.9E-2"/>
  </r>
  <r>
    <x v="127"/>
    <n v="2232"/>
    <n v="-6.4999999999999997E-3"/>
  </r>
  <r>
    <x v="128"/>
    <n v="2239.5"/>
    <n v="3.3999999999999998E-3"/>
  </r>
  <r>
    <x v="129"/>
    <n v="2241.5"/>
    <n v="8.9999999999999998E-4"/>
  </r>
  <r>
    <x v="130"/>
    <n v="2212.5"/>
    <n v="-1.29E-2"/>
  </r>
  <r>
    <x v="131"/>
    <n v="2214"/>
    <n v="6.9999999999999999E-4"/>
  </r>
  <r>
    <x v="132"/>
    <n v="2200"/>
    <n v="-6.3E-3"/>
  </r>
  <r>
    <x v="133"/>
    <n v="2199.5"/>
    <n v="-2.0000000000000001E-4"/>
  </r>
  <r>
    <x v="134"/>
    <n v="2180.5"/>
    <n v="-8.6E-3"/>
  </r>
  <r>
    <x v="135"/>
    <n v="2177"/>
    <n v="-1.6000000000000001E-3"/>
  </r>
  <r>
    <x v="136"/>
    <n v="2182"/>
    <n v="2.3E-3"/>
  </r>
  <r>
    <x v="137"/>
    <n v="2185"/>
    <n v="1.4E-3"/>
  </r>
  <r>
    <x v="138"/>
    <n v="2181.5"/>
    <n v="-1.6000000000000001E-3"/>
  </r>
  <r>
    <x v="139"/>
    <n v="2176"/>
    <n v="-2.5000000000000001E-3"/>
  </r>
  <r>
    <x v="140"/>
    <n v="2191"/>
    <n v="6.8999999999999999E-3"/>
  </r>
  <r>
    <x v="141"/>
    <n v="2219"/>
    <n v="1.2800000000000001E-2"/>
  </r>
  <r>
    <x v="142"/>
    <n v="2197.5"/>
    <n v="-9.7000000000000003E-3"/>
  </r>
  <r>
    <x v="143"/>
    <n v="2220"/>
    <n v="1.0200000000000001E-2"/>
  </r>
  <r>
    <x v="144"/>
    <n v="2266.5"/>
    <n v="2.0899999999999998E-2"/>
  </r>
  <r>
    <x v="145"/>
    <n v="2251.5"/>
    <n v="-6.6E-3"/>
  </r>
  <r>
    <x v="146"/>
    <n v="2236.5"/>
    <n v="-6.7000000000000002E-3"/>
  </r>
  <r>
    <x v="147"/>
    <n v="2227.5"/>
    <n v="-4.0000000000000001E-3"/>
  </r>
  <r>
    <x v="148"/>
    <n v="2254"/>
    <n v="1.1900000000000001E-2"/>
  </r>
  <r>
    <x v="149"/>
    <n v="2287.5"/>
    <n v="1.49E-2"/>
  </r>
  <r>
    <x v="150"/>
    <n v="2265"/>
    <n v="-9.7999999999999997E-3"/>
  </r>
  <r>
    <x v="151"/>
    <n v="2263.5"/>
    <n v="-6.9999999999999999E-4"/>
  </r>
  <r>
    <x v="152"/>
    <n v="2242.5"/>
    <n v="-9.2999999999999992E-3"/>
  </r>
  <r>
    <x v="153"/>
    <n v="2215"/>
    <n v="-1.23E-2"/>
  </r>
  <r>
    <x v="154"/>
    <n v="2223.5"/>
    <n v="3.8E-3"/>
  </r>
  <r>
    <x v="155"/>
    <n v="2231"/>
    <n v="3.3999999999999998E-3"/>
  </r>
  <r>
    <x v="156"/>
    <n v="2232.5"/>
    <n v="6.9999999999999999E-4"/>
  </r>
  <r>
    <x v="157"/>
    <n v="2215.5"/>
    <n v="-7.6E-3"/>
  </r>
  <r>
    <x v="158"/>
    <n v="2207"/>
    <n v="-3.8E-3"/>
  </r>
  <r>
    <x v="159"/>
    <n v="2245.5"/>
    <n v="1.7399999999999999E-2"/>
  </r>
  <r>
    <x v="160"/>
    <n v="2258.5"/>
    <n v="5.7999999999999996E-3"/>
  </r>
  <r>
    <x v="161"/>
    <n v="2218.5"/>
    <n v="-1.77E-2"/>
  </r>
  <r>
    <x v="162"/>
    <n v="2224.5"/>
    <n v="2.7000000000000001E-3"/>
  </r>
  <r>
    <x v="163"/>
    <n v="2216"/>
    <n v="-3.8E-3"/>
  </r>
  <r>
    <x v="164"/>
    <n v="2210.5"/>
    <n v="-2.5000000000000001E-3"/>
  </r>
  <r>
    <x v="165"/>
    <n v="2217"/>
    <n v="2.8999999999999998E-3"/>
  </r>
  <r>
    <x v="166"/>
    <n v="2214"/>
    <n v="-1.4E-3"/>
  </r>
  <r>
    <x v="167"/>
    <n v="2193"/>
    <n v="-9.4999999999999998E-3"/>
  </r>
  <r>
    <x v="168"/>
    <n v="2209"/>
    <n v="7.3000000000000001E-3"/>
  </r>
  <r>
    <x v="169"/>
    <n v="2182"/>
    <n v="-1.2200000000000001E-2"/>
  </r>
  <r>
    <x v="170"/>
    <n v="2160"/>
    <n v="-1.01E-2"/>
  </r>
  <r>
    <x v="171"/>
    <n v="2148.5"/>
    <n v="-5.3E-3"/>
  </r>
  <r>
    <x v="172"/>
    <n v="2132.5"/>
    <n v="-7.4000000000000003E-3"/>
  </r>
  <r>
    <x v="173"/>
    <n v="2134"/>
    <n v="6.9999999999999999E-4"/>
  </r>
  <r>
    <x v="174"/>
    <n v="2117"/>
    <n v="-8.0000000000000002E-3"/>
  </r>
  <r>
    <x v="175"/>
    <n v="2121"/>
    <n v="1.9E-3"/>
  </r>
  <r>
    <x v="176"/>
    <n v="2140"/>
    <n v="8.9999999999999993E-3"/>
  </r>
  <r>
    <x v="177"/>
    <n v="2210"/>
    <n v="3.27E-2"/>
  </r>
  <r>
    <x v="178"/>
    <n v="2247.5"/>
    <n v="1.7000000000000001E-2"/>
  </r>
  <r>
    <x v="179"/>
    <n v="2283"/>
    <n v="1.5800000000000002E-2"/>
  </r>
  <r>
    <x v="180"/>
    <n v="2262.5"/>
    <n v="-8.9999999999999993E-3"/>
  </r>
  <r>
    <x v="181"/>
    <n v="2241"/>
    <n v="-9.4999999999999998E-3"/>
  </r>
  <r>
    <x v="182"/>
    <n v="2244"/>
    <n v="1.2999999999999999E-3"/>
  </r>
  <r>
    <x v="183"/>
    <n v="2326"/>
    <n v="3.6499999999999998E-2"/>
  </r>
  <r>
    <x v="184"/>
    <n v="2387"/>
    <n v="2.6200000000000001E-2"/>
  </r>
  <r>
    <x v="185"/>
    <n v="2378"/>
    <n v="-3.8E-3"/>
  </r>
  <r>
    <x v="186"/>
    <n v="2384"/>
    <n v="2.5000000000000001E-3"/>
  </r>
  <r>
    <x v="187"/>
    <n v="2335.5"/>
    <n v="-2.0299999999999999E-2"/>
  </r>
  <r>
    <x v="188"/>
    <n v="2312.5"/>
    <n v="-9.7999999999999997E-3"/>
  </r>
  <r>
    <x v="189"/>
    <n v="2281"/>
    <n v="-1.3599999999999999E-2"/>
  </r>
  <r>
    <x v="190"/>
    <n v="2273.5"/>
    <n v="-3.3E-3"/>
  </r>
  <r>
    <x v="191"/>
    <n v="2236.5"/>
    <n v="-1.6299999999999999E-2"/>
  </r>
  <r>
    <x v="192"/>
    <n v="2249.5"/>
    <n v="5.7999999999999996E-3"/>
  </r>
  <r>
    <x v="193"/>
    <n v="2232.5"/>
    <n v="-7.6E-3"/>
  </r>
  <r>
    <x v="194"/>
    <n v="2235"/>
    <n v="1.1000000000000001E-3"/>
  </r>
  <r>
    <x v="195"/>
    <n v="2219.5"/>
    <n v="-6.8999999999999999E-3"/>
  </r>
  <r>
    <x v="196"/>
    <n v="2204.5"/>
    <n v="-6.7999999999999996E-3"/>
  </r>
  <r>
    <x v="197"/>
    <n v="2214"/>
    <n v="4.3E-3"/>
  </r>
  <r>
    <x v="198"/>
    <n v="2178"/>
    <n v="-1.6299999999999999E-2"/>
  </r>
  <r>
    <x v="199"/>
    <n v="2163.5"/>
    <n v="-6.7000000000000002E-3"/>
  </r>
  <r>
    <x v="200"/>
    <n v="2166"/>
    <n v="1.1999999999999999E-3"/>
  </r>
  <r>
    <x v="201"/>
    <n v="2159"/>
    <n v="-3.2000000000000002E-3"/>
  </r>
  <r>
    <x v="202"/>
    <n v="2228"/>
    <n v="3.2000000000000001E-2"/>
  </r>
  <r>
    <x v="203"/>
    <n v="2229.5"/>
    <n v="6.9999999999999999E-4"/>
  </r>
  <r>
    <x v="204"/>
    <n v="2238.5"/>
    <n v="4.0000000000000001E-3"/>
  </r>
  <r>
    <x v="205"/>
    <n v="2274.5"/>
    <n v="1.61E-2"/>
  </r>
  <r>
    <x v="206"/>
    <n v="2264.5"/>
    <n v="-4.4000000000000003E-3"/>
  </r>
  <r>
    <x v="207"/>
    <n v="2274.5"/>
    <n v="4.4000000000000003E-3"/>
  </r>
  <r>
    <x v="208"/>
    <n v="2280"/>
    <n v="2.3999999999999998E-3"/>
  </r>
  <r>
    <x v="209"/>
    <n v="2247"/>
    <n v="-1.4500000000000001E-2"/>
  </r>
  <r>
    <x v="210"/>
    <n v="2233.5"/>
    <n v="-6.0000000000000001E-3"/>
  </r>
  <r>
    <x v="211"/>
    <n v="2212.5"/>
    <n v="-9.4000000000000004E-3"/>
  </r>
  <r>
    <x v="212"/>
    <n v="2230.5"/>
    <n v="8.0999999999999996E-3"/>
  </r>
  <r>
    <x v="213"/>
    <n v="2222"/>
    <n v="-3.8E-3"/>
  </r>
  <r>
    <x v="214"/>
    <n v="2221.5"/>
    <n v="-2.0000000000000001E-4"/>
  </r>
  <r>
    <x v="215"/>
    <n v="2216"/>
    <n v="-2.5000000000000001E-3"/>
  </r>
  <r>
    <x v="216"/>
    <n v="2227"/>
    <n v="5.0000000000000001E-3"/>
  </r>
  <r>
    <x v="217"/>
    <n v="2225.5"/>
    <n v="-6.9999999999999999E-4"/>
  </r>
  <r>
    <x v="218"/>
    <n v="2235.5"/>
    <n v="4.4999999999999997E-3"/>
  </r>
  <r>
    <x v="219"/>
    <n v="2224.5"/>
    <n v="-4.8999999999999998E-3"/>
  </r>
  <r>
    <x v="220"/>
    <n v="2218"/>
    <n v="-2.8999999999999998E-3"/>
  </r>
  <r>
    <x v="221"/>
    <n v="2197"/>
    <n v="-9.4999999999999998E-3"/>
  </r>
  <r>
    <x v="222"/>
    <n v="2193.5"/>
    <n v="-1.6000000000000001E-3"/>
  </r>
  <r>
    <x v="223"/>
    <n v="2219.5"/>
    <n v="1.1900000000000001E-2"/>
  </r>
  <r>
    <x v="224"/>
    <n v="2198"/>
    <n v="-9.7000000000000003E-3"/>
  </r>
  <r>
    <x v="225"/>
    <n v="2180"/>
    <n v="-8.2000000000000007E-3"/>
  </r>
  <r>
    <x v="226"/>
    <n v="2180"/>
    <n v="0"/>
  </r>
  <r>
    <x v="227"/>
    <n v="2191.5"/>
    <n v="5.3E-3"/>
  </r>
  <r>
    <x v="228"/>
    <n v="2190.5"/>
    <n v="-5.0000000000000001E-4"/>
  </r>
  <r>
    <x v="229"/>
    <n v="2228"/>
    <n v="1.7100000000000001E-2"/>
  </r>
  <r>
    <x v="230"/>
    <n v="2245"/>
    <n v="7.6E-3"/>
  </r>
  <r>
    <x v="231"/>
    <n v="2234"/>
    <n v="-4.8999999999999998E-3"/>
  </r>
  <r>
    <x v="232"/>
    <n v="2228.5"/>
    <n v="-2.5000000000000001E-3"/>
  </r>
  <r>
    <x v="233"/>
    <n v="2235"/>
    <n v="2.8999999999999998E-3"/>
  </r>
  <r>
    <x v="234"/>
    <n v="2253"/>
    <n v="8.0999999999999996E-3"/>
  </r>
  <r>
    <x v="235"/>
    <n v="2240"/>
    <n v="-5.7999999999999996E-3"/>
  </r>
  <r>
    <x v="236"/>
    <n v="2259"/>
    <n v="8.5000000000000006E-3"/>
  </r>
  <r>
    <x v="237"/>
    <n v="2265"/>
    <n v="2.7000000000000001E-3"/>
  </r>
  <r>
    <x v="238"/>
    <n v="2264"/>
    <n v="-4.0000000000000002E-4"/>
  </r>
  <r>
    <x v="239"/>
    <n v="2251.5"/>
    <n v="-5.4999999999999997E-3"/>
  </r>
  <r>
    <x v="240"/>
    <n v="2274.5"/>
    <n v="1.0200000000000001E-2"/>
  </r>
  <r>
    <x v="241"/>
    <n v="2277.5"/>
    <n v="1.2999999999999999E-3"/>
  </r>
  <r>
    <x v="242"/>
    <n v="2269"/>
    <n v="-3.7000000000000002E-3"/>
  </r>
  <r>
    <x v="243"/>
    <n v="2273"/>
    <n v="1.8E-3"/>
  </r>
  <r>
    <x v="244"/>
    <n v="2301.5"/>
    <n v="1.2500000000000001E-2"/>
  </r>
  <r>
    <x v="245"/>
    <n v="2309"/>
    <n v="3.3E-3"/>
  </r>
  <r>
    <x v="246"/>
    <n v="2326"/>
    <n v="7.4000000000000003E-3"/>
  </r>
  <r>
    <x v="247"/>
    <n v="2303.5"/>
    <n v="-9.7000000000000003E-3"/>
  </r>
  <r>
    <x v="248"/>
    <n v="2298.5"/>
    <n v="-2.2000000000000001E-3"/>
  </r>
  <r>
    <x v="249"/>
    <n v="2337"/>
    <n v="1.6799999999999999E-2"/>
  </r>
  <r>
    <x v="250"/>
    <n v="2380"/>
    <n v="1.84E-2"/>
  </r>
  <r>
    <x v="251"/>
    <n v="2429"/>
    <n v="2.06E-2"/>
  </r>
  <r>
    <x v="252"/>
    <n v="2444.5"/>
    <n v="6.4000000000000003E-3"/>
  </r>
  <r>
    <x v="253"/>
    <n v="2450.5"/>
    <n v="2.5000000000000001E-3"/>
  </r>
  <r>
    <x v="254"/>
    <n v="2460.5"/>
    <n v="4.1000000000000003E-3"/>
  </r>
  <r>
    <x v="255"/>
    <n v="2460"/>
    <n v="-2.0000000000000001E-4"/>
  </r>
  <r>
    <x v="256"/>
    <n v="2456"/>
    <n v="-1.6000000000000001E-3"/>
  </r>
  <r>
    <x v="257"/>
    <n v="2454"/>
    <n v="-8.0000000000000004E-4"/>
  </r>
  <r>
    <x v="258"/>
    <n v="2494"/>
    <n v="1.6299999999999999E-2"/>
  </r>
  <r>
    <x v="259"/>
    <n v="2555"/>
    <n v="2.4500000000000001E-2"/>
  </r>
  <r>
    <x v="260"/>
    <n v="2561.5"/>
    <n v="2.5000000000000001E-3"/>
  </r>
  <r>
    <x v="261"/>
    <n v="2587"/>
    <n v="0.01"/>
  </r>
  <r>
    <x v="262"/>
    <n v="2614.5"/>
    <n v="1.06E-2"/>
  </r>
  <r>
    <x v="263"/>
    <n v="2669"/>
    <n v="2.0799999999999999E-2"/>
  </r>
  <r>
    <x v="264"/>
    <n v="2670.5"/>
    <n v="5.9999999999999995E-4"/>
  </r>
  <r>
    <x v="265"/>
    <n v="2579"/>
    <n v="-3.4299999999999997E-2"/>
  </r>
  <r>
    <x v="266"/>
    <n v="2603"/>
    <n v="9.2999999999999992E-3"/>
  </r>
  <r>
    <x v="267"/>
    <n v="2563.5"/>
    <n v="-1.52E-2"/>
  </r>
  <r>
    <x v="268"/>
    <n v="2569.5"/>
    <n v="2.3E-3"/>
  </r>
  <r>
    <x v="269"/>
    <n v="2590"/>
    <n v="8.0000000000000002E-3"/>
  </r>
  <r>
    <x v="270"/>
    <n v="2591.5"/>
    <n v="5.9999999999999995E-4"/>
  </r>
  <r>
    <x v="271"/>
    <n v="2577.5"/>
    <n v="-5.4000000000000003E-3"/>
  </r>
  <r>
    <x v="272"/>
    <n v="2528"/>
    <n v="-1.9199999999999998E-2"/>
  </r>
  <r>
    <x v="273"/>
    <n v="2551.5"/>
    <n v="9.2999999999999992E-3"/>
  </r>
  <r>
    <x v="274"/>
    <n v="2569.5"/>
    <n v="7.1000000000000004E-3"/>
  </r>
  <r>
    <x v="275"/>
    <n v="2549"/>
    <n v="-8.0000000000000002E-3"/>
  </r>
  <r>
    <x v="276"/>
    <n v="2561.5"/>
    <n v="4.8999999999999998E-3"/>
  </r>
  <r>
    <x v="277"/>
    <n v="2529.5"/>
    <n v="-1.2500000000000001E-2"/>
  </r>
  <r>
    <x v="278"/>
    <n v="2542"/>
    <n v="4.8999999999999998E-3"/>
  </r>
  <r>
    <x v="279"/>
    <n v="2551"/>
    <n v="3.5000000000000001E-3"/>
  </r>
  <r>
    <x v="280"/>
    <n v="2598.5"/>
    <n v="1.8599999999999998E-2"/>
  </r>
  <r>
    <x v="281"/>
    <n v="2586.5"/>
    <n v="-4.5999999999999999E-3"/>
  </r>
  <r>
    <x v="282"/>
    <n v="2612"/>
    <n v="9.9000000000000008E-3"/>
  </r>
  <r>
    <x v="283"/>
    <n v="2630"/>
    <n v="6.8999999999999999E-3"/>
  </r>
  <r>
    <x v="284"/>
    <n v="2725.5"/>
    <n v="3.6299999999999999E-2"/>
  </r>
  <r>
    <x v="285"/>
    <n v="2636.5"/>
    <n v="-3.27E-2"/>
  </r>
  <r>
    <x v="286"/>
    <n v="2621.5"/>
    <n v="-5.7000000000000002E-3"/>
  </r>
  <r>
    <x v="287"/>
    <n v="2662"/>
    <n v="1.54E-2"/>
  </r>
  <r>
    <x v="288"/>
    <n v="2729.5"/>
    <n v="2.5399999999999999E-2"/>
  </r>
  <r>
    <x v="289"/>
    <n v="2767.5"/>
    <n v="1.3899999999999999E-2"/>
  </r>
  <r>
    <x v="290"/>
    <n v="2703.5"/>
    <n v="-2.3099999999999999E-2"/>
  </r>
  <r>
    <x v="291"/>
    <n v="2652.5"/>
    <n v="-1.89E-2"/>
  </r>
  <r>
    <x v="292"/>
    <n v="2661.5"/>
    <n v="3.3999999999999998E-3"/>
  </r>
  <r>
    <x v="293"/>
    <n v="2663.5"/>
    <n v="8.0000000000000004E-4"/>
  </r>
  <r>
    <x v="294"/>
    <n v="2622"/>
    <n v="-1.5599999999999999E-2"/>
  </r>
  <r>
    <x v="295"/>
    <n v="2647.5"/>
    <n v="9.7000000000000003E-3"/>
  </r>
  <r>
    <x v="296"/>
    <n v="2578"/>
    <n v="-2.63E-2"/>
  </r>
  <r>
    <x v="297"/>
    <n v="2572"/>
    <n v="-2.3E-3"/>
  </r>
  <r>
    <x v="298"/>
    <n v="2533.5"/>
    <n v="-1.4999999999999999E-2"/>
  </r>
  <r>
    <x v="299"/>
    <n v="2575.5"/>
    <n v="1.66E-2"/>
  </r>
  <r>
    <x v="300"/>
    <n v="2557"/>
    <n v="-7.1999999999999998E-3"/>
  </r>
  <r>
    <x v="301"/>
    <n v="2517.5"/>
    <n v="-1.54E-2"/>
  </r>
  <r>
    <x v="302"/>
    <n v="2501.5"/>
    <n v="-6.4000000000000003E-3"/>
  </r>
  <r>
    <x v="303"/>
    <n v="2486.5"/>
    <n v="-6.0000000000000001E-3"/>
  </r>
  <r>
    <x v="304"/>
    <n v="2499"/>
    <n v="5.0000000000000001E-3"/>
  </r>
  <r>
    <x v="305"/>
    <n v="2521.5"/>
    <n v="8.9999999999999993E-3"/>
  </r>
  <r>
    <x v="306"/>
    <n v="2513.5"/>
    <n v="-3.2000000000000002E-3"/>
  </r>
  <r>
    <x v="307"/>
    <n v="2503"/>
    <n v="-4.1999999999999997E-3"/>
  </r>
  <r>
    <x v="308"/>
    <n v="2496"/>
    <n v="-2.8E-3"/>
  </r>
  <r>
    <x v="309"/>
    <n v="2512"/>
    <n v="6.4000000000000003E-3"/>
  </r>
  <r>
    <x v="310"/>
    <n v="2492.5"/>
    <n v="-7.7999999999999996E-3"/>
  </r>
  <r>
    <x v="311"/>
    <n v="2524.5"/>
    <n v="1.2800000000000001E-2"/>
  </r>
  <r>
    <x v="312"/>
    <n v="2515.5"/>
    <n v="-3.5999999999999999E-3"/>
  </r>
  <r>
    <x v="313"/>
    <n v="2522.5"/>
    <n v="2.8E-3"/>
  </r>
  <r>
    <x v="314"/>
    <n v="2548"/>
    <n v="1.01E-2"/>
  </r>
  <r>
    <x v="315"/>
    <n v="2522.5"/>
    <n v="-0.01"/>
  </r>
  <r>
    <x v="316"/>
    <n v="2535.5"/>
    <n v="5.1999999999999998E-3"/>
  </r>
  <r>
    <x v="317"/>
    <n v="2531.5"/>
    <n v="-1.6000000000000001E-3"/>
  </r>
  <r>
    <x v="318"/>
    <n v="2496.5"/>
    <n v="-1.38E-2"/>
  </r>
  <r>
    <x v="319"/>
    <n v="2483.5"/>
    <n v="-5.1999999999999998E-3"/>
  </r>
  <r>
    <x v="320"/>
    <n v="2476.5"/>
    <n v="-2.8E-3"/>
  </r>
  <r>
    <x v="321"/>
    <n v="2481"/>
    <n v="1.8E-3"/>
  </r>
  <r>
    <x v="322"/>
    <n v="2461.5"/>
    <n v="-7.9000000000000008E-3"/>
  </r>
  <r>
    <x v="323"/>
    <n v="2406"/>
    <n v="-2.2499999999999999E-2"/>
  </r>
  <r>
    <x v="324"/>
    <n v="2402"/>
    <n v="-1.6999999999999999E-3"/>
  </r>
  <r>
    <x v="325"/>
    <n v="2385"/>
    <n v="-7.1000000000000004E-3"/>
  </r>
  <r>
    <x v="326"/>
    <n v="2351.5"/>
    <n v="-1.4E-2"/>
  </r>
  <r>
    <x v="327"/>
    <n v="2299.5"/>
    <n v="-2.2100000000000002E-2"/>
  </r>
  <r>
    <x v="328"/>
    <n v="2295"/>
    <n v="-2E-3"/>
  </r>
  <r>
    <x v="329"/>
    <n v="2300.5"/>
    <n v="2.3999999999999998E-3"/>
  </r>
  <r>
    <x v="330"/>
    <n v="2270.5"/>
    <n v="-1.2999999999999999E-2"/>
  </r>
  <r>
    <x v="331"/>
    <n v="2289"/>
    <n v="8.0999999999999996E-3"/>
  </r>
  <r>
    <x v="332"/>
    <n v="2250.5"/>
    <n v="-1.6799999999999999E-2"/>
  </r>
  <r>
    <x v="333"/>
    <n v="2224.5"/>
    <n v="-1.1599999999999999E-2"/>
  </r>
  <r>
    <x v="334"/>
    <n v="2290.5"/>
    <n v="2.9700000000000001E-2"/>
  </r>
  <r>
    <x v="335"/>
    <n v="2296"/>
    <n v="2.3999999999999998E-3"/>
  </r>
  <r>
    <x v="336"/>
    <n v="2263.5"/>
    <n v="-1.4200000000000001E-2"/>
  </r>
  <r>
    <x v="337"/>
    <n v="2250"/>
    <n v="-6.0000000000000001E-3"/>
  </r>
  <r>
    <x v="338"/>
    <n v="2296"/>
    <n v="2.0400000000000001E-2"/>
  </r>
  <r>
    <x v="339"/>
    <n v="2288"/>
    <n v="-3.5000000000000001E-3"/>
  </r>
  <r>
    <x v="340"/>
    <n v="2274"/>
    <n v="-6.1000000000000004E-3"/>
  </r>
  <r>
    <x v="341"/>
    <n v="2301.5"/>
    <n v="1.21E-2"/>
  </r>
  <r>
    <x v="342"/>
    <n v="2305.5"/>
    <n v="1.6999999999999999E-3"/>
  </r>
  <r>
    <x v="343"/>
    <n v="2332"/>
    <n v="1.15E-2"/>
  </r>
  <r>
    <x v="344"/>
    <n v="2335.5"/>
    <n v="1.5E-3"/>
  </r>
  <r>
    <x v="345"/>
    <n v="2363.5"/>
    <n v="1.2E-2"/>
  </r>
  <r>
    <x v="346"/>
    <n v="2365.5"/>
    <n v="8.0000000000000004E-4"/>
  </r>
  <r>
    <x v="347"/>
    <n v="2445.5"/>
    <n v="3.3799999999999997E-2"/>
  </r>
  <r>
    <x v="348"/>
    <n v="2502"/>
    <n v="2.3099999999999999E-2"/>
  </r>
  <r>
    <x v="349"/>
    <n v="2487"/>
    <n v="-6.0000000000000001E-3"/>
  </r>
  <r>
    <x v="350"/>
    <n v="2480"/>
    <n v="-2.8E-3"/>
  </r>
  <r>
    <x v="351"/>
    <n v="2542"/>
    <n v="2.5000000000000001E-2"/>
  </r>
  <r>
    <x v="352"/>
    <n v="2549.5"/>
    <n v="3.0000000000000001E-3"/>
  </r>
  <r>
    <x v="353"/>
    <n v="2496"/>
    <n v="-2.1000000000000001E-2"/>
  </r>
  <r>
    <x v="354"/>
    <n v="2457.5"/>
    <n v="-1.54E-2"/>
  </r>
  <r>
    <x v="355"/>
    <n v="2447"/>
    <n v="-4.3E-3"/>
  </r>
  <r>
    <x v="356"/>
    <n v="2424"/>
    <n v="-9.4000000000000004E-3"/>
  </r>
  <r>
    <x v="357"/>
    <n v="2407.5"/>
    <n v="-6.7999999999999996E-3"/>
  </r>
  <r>
    <x v="358"/>
    <n v="2396.5"/>
    <n v="-4.5999999999999999E-3"/>
  </r>
  <r>
    <x v="359"/>
    <n v="2378.5"/>
    <n v="-7.4999999999999997E-3"/>
  </r>
  <r>
    <x v="360"/>
    <n v="2342"/>
    <n v="-1.5299999999999999E-2"/>
  </r>
  <r>
    <x v="361"/>
    <n v="2350.5"/>
    <n v="3.5999999999999999E-3"/>
  </r>
  <r>
    <x v="362"/>
    <n v="2336.5"/>
    <n v="-6.0000000000000001E-3"/>
  </r>
  <r>
    <x v="363"/>
    <n v="2370.5"/>
    <n v="1.46E-2"/>
  </r>
  <r>
    <x v="364"/>
    <n v="2415.5"/>
    <n v="1.9E-2"/>
  </r>
  <r>
    <x v="365"/>
    <n v="2471"/>
    <n v="2.3E-2"/>
  </r>
  <r>
    <x v="366"/>
    <n v="2528.5"/>
    <n v="2.3300000000000001E-2"/>
  </r>
  <r>
    <x v="367"/>
    <n v="2524"/>
    <n v="-1.8E-3"/>
  </r>
  <r>
    <x v="368"/>
    <n v="2536.5"/>
    <n v="5.0000000000000001E-3"/>
  </r>
  <r>
    <x v="369"/>
    <n v="2539.5"/>
    <n v="1.1999999999999999E-3"/>
  </r>
  <r>
    <x v="370"/>
    <n v="2485"/>
    <n v="-2.1499999999999998E-2"/>
  </r>
  <r>
    <x v="371"/>
    <n v="2494.5"/>
    <n v="3.8E-3"/>
  </r>
  <r>
    <x v="372"/>
    <n v="2556"/>
    <n v="2.47E-2"/>
  </r>
  <r>
    <x v="373"/>
    <n v="2538.5"/>
    <n v="-6.7999999999999996E-3"/>
  </r>
  <r>
    <x v="374"/>
    <n v="2611.5"/>
    <n v="2.8799999999999999E-2"/>
  </r>
  <r>
    <x v="375"/>
    <n v="2646.5"/>
    <n v="1.34E-2"/>
  </r>
  <r>
    <x v="376"/>
    <n v="2611.5"/>
    <n v="-1.32E-2"/>
  </r>
  <r>
    <x v="377"/>
    <n v="2648"/>
    <n v="1.4E-2"/>
  </r>
  <r>
    <x v="378"/>
    <n v="2678.5"/>
    <n v="1.15E-2"/>
  </r>
  <r>
    <x v="379"/>
    <n v="2629"/>
    <n v="-1.8499999999999999E-2"/>
  </r>
  <r>
    <x v="380"/>
    <n v="2653"/>
    <n v="9.1000000000000004E-3"/>
  </r>
  <r>
    <x v="381"/>
    <n v="2658"/>
    <n v="1.9E-3"/>
  </r>
  <r>
    <x v="382"/>
    <n v="2571"/>
    <n v="-3.27E-2"/>
  </r>
  <r>
    <x v="383"/>
    <n v="2541"/>
    <n v="-1.17E-2"/>
  </r>
  <r>
    <x v="384"/>
    <n v="2586"/>
    <n v="1.77E-2"/>
  </r>
  <r>
    <x v="385"/>
    <n v="2632.5"/>
    <n v="1.7999999999999999E-2"/>
  </r>
  <r>
    <x v="386"/>
    <n v="2594"/>
    <n v="-1.46E-2"/>
  </r>
  <r>
    <x v="387"/>
    <n v="2570.5"/>
    <n v="-9.1000000000000004E-3"/>
  </r>
  <r>
    <x v="388"/>
    <n v="2584"/>
    <n v="5.3E-3"/>
  </r>
  <r>
    <x v="389"/>
    <n v="2553.5"/>
    <n v="-1.18E-2"/>
  </r>
  <r>
    <x v="390"/>
    <n v="2612"/>
    <n v="2.29E-2"/>
  </r>
  <r>
    <x v="391"/>
    <n v="2595.5"/>
    <n v="-6.3E-3"/>
  </r>
  <r>
    <x v="392"/>
    <n v="2633.5"/>
    <n v="1.46E-2"/>
  </r>
  <r>
    <x v="393"/>
    <n v="2669.5"/>
    <n v="1.37E-2"/>
  </r>
  <r>
    <x v="394"/>
    <n v="2650"/>
    <n v="-7.3000000000000001E-3"/>
  </r>
  <r>
    <x v="395"/>
    <n v="2677.5"/>
    <n v="1.04E-2"/>
  </r>
  <r>
    <x v="396"/>
    <n v="2645.5"/>
    <n v="-1.2E-2"/>
  </r>
  <r>
    <x v="397"/>
    <n v="2659"/>
    <n v="5.1000000000000004E-3"/>
  </r>
  <r>
    <x v="398"/>
    <n v="2616"/>
    <n v="-1.6199999999999999E-2"/>
  </r>
  <r>
    <x v="399"/>
    <n v="2617.5"/>
    <n v="5.9999999999999995E-4"/>
  </r>
  <r>
    <x v="400"/>
    <n v="2600"/>
    <n v="-6.7000000000000002E-3"/>
  </r>
  <r>
    <x v="401"/>
    <n v="2620"/>
    <n v="7.7000000000000002E-3"/>
  </r>
  <r>
    <x v="402"/>
    <n v="2660"/>
    <n v="1.5299999999999999E-2"/>
  </r>
  <r>
    <x v="403"/>
    <n v="2615.5"/>
    <n v="-1.67E-2"/>
  </r>
  <r>
    <x v="404"/>
    <n v="2694.5"/>
    <n v="3.0200000000000001E-2"/>
  </r>
  <r>
    <x v="405"/>
    <n v="2620.5"/>
    <n v="-2.75E-2"/>
  </r>
  <r>
    <x v="406"/>
    <n v="2586.5"/>
    <n v="-1.2999999999999999E-2"/>
  </r>
  <r>
    <x v="407"/>
    <n v="2563"/>
    <n v="-9.1000000000000004E-3"/>
  </r>
  <r>
    <x v="408"/>
    <n v="2530.5"/>
    <n v="-1.2699999999999999E-2"/>
  </r>
  <r>
    <x v="409"/>
    <n v="2516.5"/>
    <n v="-5.4999999999999997E-3"/>
  </r>
  <r>
    <x v="410"/>
    <n v="2649.5"/>
    <n v="5.2900000000000003E-2"/>
  </r>
  <r>
    <x v="411"/>
    <n v="2607.5"/>
    <n v="-1.5900000000000001E-2"/>
  </r>
  <r>
    <x v="412"/>
    <n v="2644.5"/>
    <n v="1.4200000000000001E-2"/>
  </r>
  <r>
    <x v="413"/>
    <n v="2644"/>
    <n v="-2.0000000000000001E-4"/>
  </r>
  <r>
    <x v="414"/>
    <n v="2631.5"/>
    <n v="-4.7000000000000002E-3"/>
  </r>
  <r>
    <x v="415"/>
    <n v="2624"/>
    <n v="-2.8999999999999998E-3"/>
  </r>
  <r>
    <x v="416"/>
    <n v="2652"/>
    <n v="1.0699999999999999E-2"/>
  </r>
  <r>
    <x v="417"/>
    <n v="2612.5"/>
    <n v="-1.49E-2"/>
  </r>
  <r>
    <x v="418"/>
    <n v="2595.5"/>
    <n v="-6.4999999999999997E-3"/>
  </r>
  <r>
    <x v="419"/>
    <n v="2599"/>
    <n v="1.2999999999999999E-3"/>
  </r>
  <r>
    <x v="420"/>
    <n v="2594"/>
    <n v="-1.9E-3"/>
  </r>
  <r>
    <x v="421"/>
    <n v="2590"/>
    <n v="-1.5E-3"/>
  </r>
  <r>
    <x v="422"/>
    <n v="2609.5"/>
    <n v="7.4999999999999997E-3"/>
  </r>
  <r>
    <x v="423"/>
    <n v="2646.5"/>
    <n v="1.4200000000000001E-2"/>
  </r>
  <r>
    <x v="424"/>
    <n v="2639"/>
    <n v="-2.8E-3"/>
  </r>
  <r>
    <x v="425"/>
    <n v="2603.5"/>
    <n v="-1.35E-2"/>
  </r>
  <r>
    <x v="426"/>
    <n v="2588"/>
    <n v="-6.0000000000000001E-3"/>
  </r>
  <r>
    <x v="427"/>
    <n v="2608.5"/>
    <n v="7.9000000000000008E-3"/>
  </r>
  <r>
    <x v="428"/>
    <n v="2601"/>
    <n v="-2.8999999999999998E-3"/>
  </r>
  <r>
    <x v="429"/>
    <n v="2599.5"/>
    <n v="-5.9999999999999995E-4"/>
  </r>
  <r>
    <x v="430"/>
    <n v="2605"/>
    <n v="2.0999999999999999E-3"/>
  </r>
  <r>
    <x v="431"/>
    <n v="2566.5"/>
    <n v="-1.4800000000000001E-2"/>
  </r>
  <r>
    <x v="432"/>
    <n v="2542.5"/>
    <n v="-9.4000000000000004E-3"/>
  </r>
  <r>
    <x v="433"/>
    <n v="2528.5"/>
    <n v="-5.4999999999999997E-3"/>
  </r>
  <r>
    <x v="434"/>
    <n v="2507"/>
    <n v="-8.5000000000000006E-3"/>
  </r>
  <r>
    <x v="435"/>
    <n v="2534.5"/>
    <n v="1.0999999999999999E-2"/>
  </r>
  <r>
    <x v="436"/>
    <n v="2527"/>
    <n v="-3.0000000000000001E-3"/>
  </r>
  <r>
    <x v="437"/>
    <n v="2565"/>
    <n v="1.4999999999999999E-2"/>
  </r>
  <r>
    <x v="438"/>
    <n v="2558"/>
    <n v="-2.7000000000000001E-3"/>
  </r>
  <r>
    <x v="439"/>
    <n v="2551"/>
    <n v="-2.7000000000000001E-3"/>
  </r>
  <r>
    <x v="440"/>
    <n v="2551.5"/>
    <n v="2.0000000000000001E-4"/>
  </r>
  <r>
    <x v="441"/>
    <n v="2529"/>
    <n v="-8.8000000000000005E-3"/>
  </r>
  <r>
    <x v="442"/>
    <n v="2493.5"/>
    <n v="-1.4E-2"/>
  </r>
  <r>
    <x v="443"/>
    <n v="2490"/>
    <n v="-1.4E-3"/>
  </r>
  <r>
    <x v="444"/>
    <n v="2517.5"/>
    <n v="1.0999999999999999E-2"/>
  </r>
  <r>
    <x v="445"/>
    <n v="2498.5"/>
    <n v="-7.4999999999999997E-3"/>
  </r>
  <r>
    <x v="446"/>
    <n v="2539"/>
    <n v="1.6199999999999999E-2"/>
  </r>
  <r>
    <x v="447"/>
    <n v="2571.5"/>
    <n v="1.2800000000000001E-2"/>
  </r>
  <r>
    <x v="448"/>
    <n v="2578.5"/>
    <n v="2.7000000000000001E-3"/>
  </r>
  <r>
    <x v="449"/>
    <n v="2560"/>
    <n v="-7.1999999999999998E-3"/>
  </r>
  <r>
    <x v="450"/>
    <n v="2601.5"/>
    <n v="1.6199999999999999E-2"/>
  </r>
  <r>
    <x v="451"/>
    <n v="2635"/>
    <n v="1.29E-2"/>
  </r>
  <r>
    <x v="452"/>
    <n v="2682"/>
    <n v="1.78E-2"/>
  </r>
  <r>
    <x v="453"/>
    <n v="2691"/>
    <n v="3.3999999999999998E-3"/>
  </r>
  <r>
    <x v="454"/>
    <n v="2652"/>
    <n v="-1.4500000000000001E-2"/>
  </r>
  <r>
    <x v="455"/>
    <n v="2635"/>
    <n v="-6.4000000000000003E-3"/>
  </r>
  <r>
    <x v="456"/>
    <n v="2631"/>
    <n v="-1.5E-3"/>
  </r>
  <r>
    <x v="457"/>
    <n v="2637"/>
    <n v="2.3E-3"/>
  </r>
  <r>
    <x v="458"/>
    <n v="2612"/>
    <n v="-9.4999999999999998E-3"/>
  </r>
  <r>
    <x v="459"/>
    <n v="2576.5500000000002"/>
    <n v="-1.3599999999999999E-2"/>
  </r>
  <r>
    <x v="460"/>
    <n v="2621.95"/>
    <n v="1.7600000000000001E-2"/>
  </r>
  <r>
    <x v="461"/>
    <n v="2617.4499999999998"/>
    <n v="-1.6999999999999999E-3"/>
  </r>
  <r>
    <x v="462"/>
    <n v="2595.3000000000002"/>
    <n v="-8.5000000000000006E-3"/>
  </r>
  <r>
    <x v="463"/>
    <n v="2626.2"/>
    <n v="1.1900000000000001E-2"/>
  </r>
  <r>
    <x v="464"/>
    <n v="2632.25"/>
    <n v="2.3E-3"/>
  </r>
  <r>
    <x v="465"/>
    <n v="2625.65"/>
    <n v="-2.5000000000000001E-3"/>
  </r>
  <r>
    <x v="466"/>
    <n v="2622.9"/>
    <n v="-1E-3"/>
  </r>
  <r>
    <x v="467"/>
    <n v="2637.75"/>
    <n v="5.7000000000000002E-3"/>
  </r>
  <r>
    <x v="468"/>
    <n v="2666.6"/>
    <n v="1.09E-2"/>
  </r>
  <r>
    <x v="469"/>
    <n v="2639.05"/>
    <n v="-1.03E-2"/>
  </r>
  <r>
    <x v="470"/>
    <n v="2629.3"/>
    <n v="-3.7000000000000002E-3"/>
  </r>
  <r>
    <x v="471"/>
    <n v="2610.65"/>
    <n v="-7.1000000000000004E-3"/>
  </r>
  <r>
    <x v="472"/>
    <n v="2638.95"/>
    <n v="1.0800000000000001E-2"/>
  </r>
  <r>
    <x v="473"/>
    <n v="2650.15"/>
    <n v="4.1999999999999997E-3"/>
  </r>
  <r>
    <x v="474"/>
    <n v="2670.45"/>
    <n v="7.7000000000000002E-3"/>
  </r>
  <r>
    <x v="475"/>
    <n v="2683.9"/>
    <n v="5.0000000000000001E-3"/>
  </r>
  <r>
    <x v="476"/>
    <n v="2728.8"/>
    <n v="1.67E-2"/>
  </r>
  <r>
    <x v="477"/>
    <n v="2675.1"/>
    <n v="-1.9699999999999999E-2"/>
  </r>
  <r>
    <x v="478"/>
    <n v="2656.3"/>
    <n v="-7.0000000000000001E-3"/>
  </r>
  <r>
    <x v="479"/>
    <n v="2639.75"/>
    <n v="-6.1999999999999998E-3"/>
  </r>
  <r>
    <x v="480"/>
    <n v="2632.3"/>
    <n v="-2.8E-3"/>
  </r>
  <r>
    <x v="481"/>
    <n v="2636"/>
    <n v="1.4E-3"/>
  </r>
  <r>
    <x v="482"/>
    <n v="2608.0500000000002"/>
    <n v="-1.06E-2"/>
  </r>
  <r>
    <x v="483"/>
    <n v="2617.4499999999998"/>
    <n v="3.5999999999999999E-3"/>
  </r>
  <r>
    <x v="484"/>
    <n v="2618.25"/>
    <n v="2.9999999999999997E-4"/>
  </r>
  <r>
    <x v="485"/>
    <n v="2665.4"/>
    <n v="1.7999999999999999E-2"/>
  </r>
  <r>
    <x v="486"/>
    <n v="2705.55"/>
    <n v="1.5100000000000001E-2"/>
  </r>
  <r>
    <x v="487"/>
    <n v="2696.05"/>
    <n v="-3.5000000000000001E-3"/>
  </r>
  <r>
    <x v="488"/>
    <n v="2690"/>
    <n v="-2.2000000000000001E-3"/>
  </r>
  <r>
    <x v="489"/>
    <n v="2705"/>
    <n v="5.5999999999999999E-3"/>
  </r>
  <r>
    <x v="490"/>
    <n v="2699"/>
    <n v="-2.2000000000000001E-3"/>
  </r>
  <r>
    <x v="491"/>
    <n v="2702.9"/>
    <n v="1.4E-3"/>
  </r>
  <r>
    <x v="492"/>
    <n v="2682"/>
    <n v="-7.7000000000000002E-3"/>
  </r>
  <r>
    <x v="493"/>
    <n v="2690.5"/>
    <n v="3.2000000000000002E-3"/>
  </r>
  <r>
    <x v="494"/>
    <n v="2655.2"/>
    <n v="-1.3100000000000001E-2"/>
  </r>
  <r>
    <x v="495"/>
    <n v="2669.2"/>
    <n v="5.3E-3"/>
  </r>
  <r>
    <x v="496"/>
    <n v="2656.55"/>
    <n v="-4.7000000000000002E-3"/>
  </r>
  <r>
    <x v="497"/>
    <n v="2626.2"/>
    <n v="-1.14E-2"/>
  </r>
  <r>
    <x v="498"/>
    <n v="2614.25"/>
    <n v="-4.5999999999999999E-3"/>
  </r>
  <r>
    <x v="499"/>
    <n v="2607.6"/>
    <n v="-2.5000000000000001E-3"/>
  </r>
  <r>
    <x v="500"/>
    <n v="2606.5"/>
    <n v="-4.0000000000000002E-4"/>
  </r>
  <r>
    <x v="501"/>
    <n v="2561.85"/>
    <n v="-1.7100000000000001E-2"/>
  </r>
  <r>
    <x v="502"/>
    <n v="2550.85"/>
    <n v="-4.3E-3"/>
  </r>
  <r>
    <x v="503"/>
    <n v="2536.75"/>
    <n v="-5.4999999999999997E-3"/>
  </r>
  <r>
    <x v="504"/>
    <n v="2504.4499999999998"/>
    <n v="-1.2699999999999999E-2"/>
  </r>
  <r>
    <x v="505"/>
    <n v="2490.35"/>
    <n v="-5.5999999999999999E-3"/>
  </r>
  <r>
    <x v="506"/>
    <n v="2456.0500000000002"/>
    <n v="-1.38E-2"/>
  </r>
  <r>
    <x v="507"/>
    <n v="2378.0500000000002"/>
    <n v="-3.1800000000000002E-2"/>
  </r>
  <r>
    <x v="508"/>
    <n v="2379.5500000000002"/>
    <n v="5.9999999999999995E-4"/>
  </r>
  <r>
    <x v="509"/>
    <n v="2339.6"/>
    <n v="-1.6799999999999999E-2"/>
  </r>
  <r>
    <x v="510"/>
    <n v="2342.5700000000002"/>
    <n v="1.2999999999999999E-3"/>
  </r>
  <r>
    <x v="511"/>
    <n v="2369"/>
    <n v="1.1299999999999999E-2"/>
  </r>
  <r>
    <x v="512"/>
    <n v="2401.85"/>
    <n v="1.3899999999999999E-2"/>
  </r>
  <r>
    <x v="513"/>
    <n v="2386.0500000000002"/>
    <n v="-6.6E-3"/>
  </r>
  <r>
    <x v="514"/>
    <n v="2372.9"/>
    <n v="-5.4999999999999997E-3"/>
  </r>
  <r>
    <x v="515"/>
    <n v="2388.6"/>
    <n v="6.6E-3"/>
  </r>
  <r>
    <x v="516"/>
    <n v="2383.15"/>
    <n v="-2.3E-3"/>
  </r>
  <r>
    <x v="517"/>
    <n v="2394.5500000000002"/>
    <n v="4.7999999999999996E-3"/>
  </r>
  <r>
    <x v="518"/>
    <n v="2439.4"/>
    <n v="1.8700000000000001E-2"/>
  </r>
  <r>
    <x v="519"/>
    <n v="2459.9"/>
    <n v="8.3999999999999995E-3"/>
  </r>
  <r>
    <x v="520"/>
    <n v="2437.4"/>
    <n v="-9.1000000000000004E-3"/>
  </r>
  <r>
    <x v="521"/>
    <n v="2435.3000000000002"/>
    <n v="-8.9999999999999998E-4"/>
  </r>
  <r>
    <x v="522"/>
    <n v="2467.85"/>
    <n v="1.34E-2"/>
  </r>
  <r>
    <x v="523"/>
    <n v="2397.5"/>
    <n v="-2.8500000000000001E-2"/>
  </r>
  <r>
    <x v="524"/>
    <n v="2412.1"/>
    <n v="6.1000000000000004E-3"/>
  </r>
  <r>
    <x v="525"/>
    <n v="2440.4"/>
    <n v="1.17E-2"/>
  </r>
  <r>
    <x v="526"/>
    <n v="2424.4499999999998"/>
    <n v="-6.4999999999999997E-3"/>
  </r>
  <r>
    <x v="527"/>
    <n v="2380.0500000000002"/>
    <n v="-1.83E-2"/>
  </r>
  <r>
    <x v="528"/>
    <n v="2408.75"/>
    <n v="1.21E-2"/>
  </r>
  <r>
    <x v="529"/>
    <n v="2421.1"/>
    <n v="5.1000000000000004E-3"/>
  </r>
  <r>
    <x v="530"/>
    <n v="2470.9"/>
    <n v="2.06E-2"/>
  </r>
  <r>
    <x v="531"/>
    <n v="2490.9499999999998"/>
    <n v="8.0999999999999996E-3"/>
  </r>
  <r>
    <x v="532"/>
    <n v="2523.1999999999998"/>
    <n v="1.29E-2"/>
  </r>
  <r>
    <x v="533"/>
    <n v="2500.6"/>
    <n v="-8.9999999999999993E-3"/>
  </r>
  <r>
    <x v="534"/>
    <n v="2479.9"/>
    <n v="-8.3000000000000001E-3"/>
  </r>
  <r>
    <x v="535"/>
    <n v="2439.15"/>
    <n v="-1.6400000000000001E-2"/>
  </r>
  <r>
    <x v="536"/>
    <n v="2482.9499999999998"/>
    <n v="1.7999999999999999E-2"/>
  </r>
  <r>
    <x v="537"/>
    <n v="2477.25"/>
    <n v="-2.3E-3"/>
  </r>
  <r>
    <x v="538"/>
    <n v="2460.1999999999998"/>
    <n v="-6.8999999999999999E-3"/>
  </r>
  <r>
    <x v="539"/>
    <n v="2472.4"/>
    <n v="5.0000000000000001E-3"/>
  </r>
  <r>
    <x v="540"/>
    <n v="2483.4499999999998"/>
    <n v="4.4999999999999997E-3"/>
  </r>
  <r>
    <x v="541"/>
    <n v="2470.5500000000002"/>
    <n v="-5.1999999999999998E-3"/>
  </r>
  <r>
    <x v="542"/>
    <n v="2450.35"/>
    <n v="-8.2000000000000007E-3"/>
  </r>
  <r>
    <x v="543"/>
    <n v="2446.4"/>
    <n v="-1.6000000000000001E-3"/>
  </r>
  <r>
    <x v="544"/>
    <n v="2474.5500000000002"/>
    <n v="1.15E-2"/>
  </r>
  <r>
    <x v="545"/>
    <n v="2472.6"/>
    <n v="-8.0000000000000004E-4"/>
  </r>
  <r>
    <x v="546"/>
    <n v="2489.6"/>
    <n v="6.8999999999999999E-3"/>
  </r>
  <r>
    <x v="547"/>
    <n v="2479.1999999999998"/>
    <n v="-4.1999999999999997E-3"/>
  </r>
  <r>
    <x v="548"/>
    <n v="2453.4"/>
    <n v="-1.04E-2"/>
  </r>
  <r>
    <x v="549"/>
    <n v="2480.65"/>
    <n v="1.11E-2"/>
  </r>
  <r>
    <x v="550"/>
    <n v="2492.35"/>
    <n v="4.7000000000000002E-3"/>
  </r>
  <r>
    <x v="551"/>
    <n v="2517.9499999999998"/>
    <n v="1.03E-2"/>
  </r>
  <r>
    <x v="552"/>
    <n v="2521.6999999999998"/>
    <n v="1.5E-3"/>
  </r>
  <r>
    <x v="553"/>
    <n v="2506.0500000000002"/>
    <n v="-6.1999999999999998E-3"/>
  </r>
  <r>
    <x v="554"/>
    <n v="2518.4"/>
    <n v="4.8999999999999998E-3"/>
  </r>
  <r>
    <x v="555"/>
    <n v="2547.6999999999998"/>
    <n v="1.1599999999999999E-2"/>
  </r>
  <r>
    <x v="556"/>
    <n v="2545"/>
    <n v="-1.1000000000000001E-3"/>
  </r>
  <r>
    <x v="557"/>
    <n v="2527.25"/>
    <n v="-7.0000000000000001E-3"/>
  </r>
  <r>
    <x v="558"/>
    <n v="2556.5"/>
    <n v="1.1599999999999999E-2"/>
  </r>
  <r>
    <x v="559"/>
    <n v="2589.9499999999998"/>
    <n v="1.3100000000000001E-2"/>
  </r>
  <r>
    <x v="560"/>
    <n v="2575.85"/>
    <n v="-5.4000000000000003E-3"/>
  </r>
  <r>
    <x v="561"/>
    <n v="2571.1"/>
    <n v="-1.8E-3"/>
  </r>
  <r>
    <x v="562"/>
    <n v="2592.35"/>
    <n v="8.3000000000000001E-3"/>
  </r>
  <r>
    <x v="563"/>
    <n v="2598.85"/>
    <n v="2.5000000000000001E-3"/>
  </r>
  <r>
    <x v="564"/>
    <n v="2601.65"/>
    <n v="1.1000000000000001E-3"/>
  </r>
  <r>
    <x v="565"/>
    <n v="2602.1"/>
    <n v="2.0000000000000001E-4"/>
  </r>
  <r>
    <x v="566"/>
    <n v="2623.2"/>
    <n v="8.0999999999999996E-3"/>
  </r>
  <r>
    <x v="567"/>
    <n v="2608.15"/>
    <n v="-5.7000000000000002E-3"/>
  </r>
  <r>
    <x v="568"/>
    <n v="2595.65"/>
    <n v="-4.7999999999999996E-3"/>
  </r>
  <r>
    <x v="569"/>
    <n v="2569.65"/>
    <n v="-0.01"/>
  </r>
  <r>
    <x v="570"/>
    <n v="2594.5500000000002"/>
    <n v="9.7000000000000003E-3"/>
  </r>
  <r>
    <x v="571"/>
    <n v="2605.1999999999998"/>
    <n v="4.1000000000000003E-3"/>
  </r>
  <r>
    <x v="572"/>
    <n v="2609.25"/>
    <n v="1.6000000000000001E-3"/>
  </r>
  <r>
    <x v="573"/>
    <n v="2603.6999999999998"/>
    <n v="-2.0999999999999999E-3"/>
  </r>
  <r>
    <x v="574"/>
    <n v="2596.15"/>
    <n v="-2.8999999999999998E-3"/>
  </r>
  <r>
    <x v="575"/>
    <n v="2582.4499999999998"/>
    <n v="-5.3E-3"/>
  </r>
  <r>
    <x v="576"/>
    <n v="2577.9"/>
    <n v="-1.8E-3"/>
  </r>
  <r>
    <x v="577"/>
    <n v="2588.25"/>
    <n v="4.0000000000000001E-3"/>
  </r>
  <r>
    <x v="578"/>
    <n v="2635.9"/>
    <n v="1.84E-2"/>
  </r>
  <r>
    <x v="579"/>
    <n v="2644.95"/>
    <n v="3.3999999999999998E-3"/>
  </r>
  <r>
    <x v="580"/>
    <n v="2657.25"/>
    <n v="4.7000000000000002E-3"/>
  </r>
  <r>
    <x v="581"/>
    <n v="2645.65"/>
    <n v="-4.4000000000000003E-3"/>
  </r>
  <r>
    <x v="582"/>
    <n v="2652.05"/>
    <n v="2.3999999999999998E-3"/>
  </r>
  <r>
    <x v="583"/>
    <n v="2635.85"/>
    <n v="-6.1000000000000004E-3"/>
  </r>
  <r>
    <x v="584"/>
    <n v="2634.35"/>
    <n v="-5.9999999999999995E-4"/>
  </r>
  <r>
    <x v="585"/>
    <n v="2608"/>
    <n v="-0.01"/>
  </r>
  <r>
    <x v="586"/>
    <n v="2607.1999999999998"/>
    <n v="-2.9999999999999997E-4"/>
  </r>
  <r>
    <x v="587"/>
    <n v="2565.5500000000002"/>
    <n v="-1.6E-2"/>
  </r>
  <r>
    <x v="588"/>
    <n v="2573.35"/>
    <n v="3.0000000000000001E-3"/>
  </r>
  <r>
    <x v="589"/>
    <n v="2564.6"/>
    <n v="-3.3999999999999998E-3"/>
  </r>
  <r>
    <x v="590"/>
    <n v="2567.75"/>
    <n v="1.1999999999999999E-3"/>
  </r>
  <r>
    <x v="591"/>
    <n v="2624.35"/>
    <n v="2.1999999999999999E-2"/>
  </r>
  <r>
    <x v="592"/>
    <n v="2608.85"/>
    <n v="-5.8999999999999999E-3"/>
  </r>
  <r>
    <x v="593"/>
    <n v="2615.75"/>
    <n v="2.5999999999999999E-3"/>
  </r>
  <r>
    <x v="594"/>
    <n v="2584.5"/>
    <n v="-1.1900000000000001E-2"/>
  </r>
  <r>
    <x v="595"/>
    <n v="2628.3"/>
    <n v="1.6899999999999998E-2"/>
  </r>
  <r>
    <x v="596"/>
    <n v="2610.6999999999998"/>
    <n v="-6.7000000000000002E-3"/>
  </r>
  <r>
    <x v="597"/>
    <n v="2624.25"/>
    <n v="5.1999999999999998E-3"/>
  </r>
  <r>
    <x v="598"/>
    <n v="2603.6"/>
    <n v="-7.9000000000000008E-3"/>
  </r>
  <r>
    <x v="599"/>
    <n v="2585.75"/>
    <n v="-6.8999999999999999E-3"/>
  </r>
  <r>
    <x v="600"/>
    <n v="2565.1"/>
    <n v="-8.0000000000000002E-3"/>
  </r>
  <r>
    <x v="601"/>
    <n v="2582.6"/>
    <n v="6.7999999999999996E-3"/>
  </r>
  <r>
    <x v="602"/>
    <n v="2592.85"/>
    <n v="4.0000000000000001E-3"/>
  </r>
  <r>
    <x v="603"/>
    <n v="2622.55"/>
    <n v="1.15E-2"/>
  </r>
  <r>
    <x v="604"/>
    <n v="2638.2"/>
    <n v="6.0000000000000001E-3"/>
  </r>
  <r>
    <x v="605"/>
    <n v="2605.4"/>
    <n v="-1.24E-2"/>
  </r>
  <r>
    <x v="606"/>
    <n v="2609.5500000000002"/>
    <n v="1.6000000000000001E-3"/>
  </r>
  <r>
    <x v="607"/>
    <n v="2620.15"/>
    <n v="4.1000000000000003E-3"/>
  </r>
  <r>
    <x v="608"/>
    <n v="2617.4"/>
    <n v="-1E-3"/>
  </r>
  <r>
    <x v="609"/>
    <n v="2621.25"/>
    <n v="1.5E-3"/>
  </r>
  <r>
    <x v="610"/>
    <n v="2617.3000000000002"/>
    <n v="-1.5E-3"/>
  </r>
  <r>
    <x v="611"/>
    <n v="2591.75"/>
    <n v="-9.7999999999999997E-3"/>
  </r>
  <r>
    <x v="612"/>
    <n v="2606.15"/>
    <n v="5.5999999999999999E-3"/>
  </r>
  <r>
    <x v="613"/>
    <n v="2614.4"/>
    <n v="3.2000000000000002E-3"/>
  </r>
  <r>
    <x v="614"/>
    <n v="2629.45"/>
    <n v="5.7999999999999996E-3"/>
  </r>
  <r>
    <x v="615"/>
    <n v="2628.2"/>
    <n v="-5.0000000000000001E-4"/>
  </r>
  <r>
    <x v="616"/>
    <n v="2678.85"/>
    <n v="1.9300000000000001E-2"/>
  </r>
  <r>
    <x v="617"/>
    <n v="2699.9"/>
    <n v="7.9000000000000008E-3"/>
  </r>
  <r>
    <x v="618"/>
    <n v="2703.7"/>
    <n v="1.4E-3"/>
  </r>
  <r>
    <x v="619"/>
    <n v="2714.55"/>
    <n v="4.0000000000000001E-3"/>
  </r>
  <r>
    <x v="620"/>
    <n v="2684.05"/>
    <n v="-1.12E-2"/>
  </r>
  <r>
    <x v="621"/>
    <n v="2696.5"/>
    <n v="4.5999999999999999E-3"/>
  </r>
  <r>
    <x v="622"/>
    <n v="2672.7"/>
    <n v="-8.8000000000000005E-3"/>
  </r>
  <r>
    <x v="623"/>
    <n v="2650.35"/>
    <n v="-8.3999999999999995E-3"/>
  </r>
  <r>
    <x v="624"/>
    <n v="2642.15"/>
    <n v="-3.0999999999999999E-3"/>
  </r>
  <r>
    <x v="625"/>
    <n v="2656"/>
    <n v="5.1999999999999998E-3"/>
  </r>
  <r>
    <x v="626"/>
    <n v="2661.15"/>
    <n v="1.9E-3"/>
  </r>
  <r>
    <x v="627"/>
    <n v="2652.6"/>
    <n v="-3.2000000000000002E-3"/>
  </r>
  <r>
    <x v="628"/>
    <n v="2679.15"/>
    <n v="0.01"/>
  </r>
  <r>
    <x v="629"/>
    <n v="2681.95"/>
    <n v="1E-3"/>
  </r>
  <r>
    <x v="630"/>
    <n v="2697.25"/>
    <n v="5.7000000000000002E-3"/>
  </r>
  <r>
    <x v="631"/>
    <n v="2689.35"/>
    <n v="-2.8999999999999998E-3"/>
  </r>
  <r>
    <x v="632"/>
    <n v="2711.25"/>
    <n v="8.0999999999999996E-3"/>
  </r>
  <r>
    <x v="633"/>
    <n v="2720.25"/>
    <n v="3.3E-3"/>
  </r>
  <r>
    <x v="634"/>
    <n v="2743.9"/>
    <n v="8.6999999999999994E-3"/>
  </r>
  <r>
    <x v="635"/>
    <n v="2759.05"/>
    <n v="5.4999999999999997E-3"/>
  </r>
  <r>
    <x v="636"/>
    <n v="2785.95"/>
    <n v="9.7000000000000003E-3"/>
  </r>
  <r>
    <x v="637"/>
    <n v="2749.55"/>
    <n v="-1.3100000000000001E-2"/>
  </r>
  <r>
    <x v="638"/>
    <n v="2769.8"/>
    <n v="7.4000000000000003E-3"/>
  </r>
  <r>
    <x v="639"/>
    <n v="2746.1"/>
    <n v="-8.6E-3"/>
  </r>
  <r>
    <x v="640"/>
    <n v="2747.05"/>
    <n v="2.9999999999999997E-4"/>
  </r>
  <r>
    <x v="641"/>
    <n v="2799.2"/>
    <n v="1.9E-2"/>
  </r>
  <r>
    <x v="642"/>
    <n v="2774.55"/>
    <n v="-8.8000000000000005E-3"/>
  </r>
  <r>
    <x v="643"/>
    <n v="2773.75"/>
    <n v="-2.9999999999999997E-4"/>
  </r>
  <r>
    <x v="644"/>
    <n v="2781.2"/>
    <n v="2.7000000000000001E-3"/>
  </r>
  <r>
    <x v="645"/>
    <n v="2809.8"/>
    <n v="1.03E-2"/>
  </r>
  <r>
    <x v="646"/>
    <n v="2863.05"/>
    <n v="1.9E-2"/>
  </r>
  <r>
    <x v="647"/>
    <n v="2859.9"/>
    <n v="-1.1000000000000001E-3"/>
  </r>
  <r>
    <x v="648"/>
    <n v="2876.15"/>
    <n v="5.7000000000000002E-3"/>
  </r>
  <r>
    <x v="649"/>
    <n v="2899.7"/>
    <n v="8.2000000000000007E-3"/>
  </r>
  <r>
    <x v="650"/>
    <n v="2884.6"/>
    <n v="-5.1999999999999998E-3"/>
  </r>
  <r>
    <x v="651"/>
    <n v="2872.55"/>
    <n v="-4.1999999999999997E-3"/>
  </r>
  <r>
    <x v="652"/>
    <n v="2892.55"/>
    <n v="7.0000000000000001E-3"/>
  </r>
  <r>
    <x v="653"/>
    <n v="2912.95"/>
    <n v="7.1000000000000004E-3"/>
  </r>
  <r>
    <x v="654"/>
    <n v="2862"/>
    <n v="-1.7500000000000002E-2"/>
  </r>
  <r>
    <x v="655"/>
    <n v="2863.2"/>
    <n v="4.0000000000000002E-4"/>
  </r>
  <r>
    <x v="656"/>
    <n v="2844.15"/>
    <n v="-6.7000000000000002E-3"/>
  </r>
  <r>
    <x v="657"/>
    <n v="2856.95"/>
    <n v="4.4999999999999997E-3"/>
  </r>
  <r>
    <x v="658"/>
    <n v="2882.8"/>
    <n v="8.9999999999999993E-3"/>
  </r>
  <r>
    <x v="659"/>
    <n v="2878.55"/>
    <n v="-1.5E-3"/>
  </r>
  <r>
    <x v="660"/>
    <n v="2892.6"/>
    <n v="4.8999999999999998E-3"/>
  </r>
  <r>
    <x v="661"/>
    <n v="2879.15"/>
    <n v="-4.5999999999999999E-3"/>
  </r>
  <r>
    <x v="662"/>
    <n v="2860"/>
    <n v="-6.7000000000000002E-3"/>
  </r>
  <r>
    <x v="663"/>
    <n v="2815.8"/>
    <n v="-1.55E-2"/>
  </r>
  <r>
    <x v="664"/>
    <n v="2788.9"/>
    <n v="-9.5999999999999992E-3"/>
  </r>
  <r>
    <x v="665"/>
    <n v="2813.25"/>
    <n v="8.6999999999999994E-3"/>
  </r>
  <r>
    <x v="666"/>
    <n v="2812.7"/>
    <n v="-2.0000000000000001E-4"/>
  </r>
  <r>
    <x v="667"/>
    <n v="2805.7"/>
    <n v="-2.5000000000000001E-3"/>
  </r>
  <r>
    <x v="668"/>
    <n v="2814.85"/>
    <n v="3.3E-3"/>
  </r>
  <r>
    <x v="669"/>
    <n v="2811.9"/>
    <n v="-1E-3"/>
  </r>
  <r>
    <x v="670"/>
    <n v="2871.65"/>
    <n v="2.12E-2"/>
  </r>
  <r>
    <x v="671"/>
    <n v="2833.25"/>
    <n v="-1.34E-2"/>
  </r>
  <r>
    <x v="672"/>
    <n v="2873.6"/>
    <n v="1.4200000000000001E-2"/>
  </r>
  <r>
    <x v="673"/>
    <n v="2892.55"/>
    <n v="6.6E-3"/>
  </r>
  <r>
    <x v="674"/>
    <n v="2862.45"/>
    <n v="-1.04E-2"/>
  </r>
  <r>
    <x v="675"/>
    <n v="2901.5"/>
    <n v="1.3599999999999999E-2"/>
  </r>
  <r>
    <x v="676"/>
    <n v="2901.75"/>
    <n v="1E-4"/>
  </r>
  <r>
    <x v="677"/>
    <n v="2909.2"/>
    <n v="2.5999999999999999E-3"/>
  </r>
  <r>
    <x v="678"/>
    <n v="2888.8"/>
    <n v="-7.0000000000000001E-3"/>
  </r>
  <r>
    <x v="679"/>
    <n v="2856.63"/>
    <n v="-1.11E-2"/>
  </r>
  <r>
    <x v="680"/>
    <n v="2871.8"/>
    <n v="5.3E-3"/>
  </r>
  <r>
    <x v="681"/>
    <n v="2903.85"/>
    <n v="1.12E-2"/>
  </r>
  <r>
    <x v="682"/>
    <n v="2877"/>
    <n v="-9.1999999999999998E-3"/>
  </r>
  <r>
    <x v="683"/>
    <n v="2873.9"/>
    <n v="-1.1000000000000001E-3"/>
  </r>
  <r>
    <x v="684"/>
    <n v="2881.7"/>
    <n v="2.7000000000000001E-3"/>
  </r>
  <r>
    <x v="685"/>
    <n v="2902.4"/>
    <n v="7.1999999999999998E-3"/>
  </r>
  <r>
    <x v="686"/>
    <n v="2916.1"/>
    <n v="4.7000000000000002E-3"/>
  </r>
  <r>
    <x v="687"/>
    <n v="2958.9"/>
    <n v="1.47E-2"/>
  </r>
  <r>
    <x v="688"/>
    <n v="2942.95"/>
    <n v="-5.4000000000000003E-3"/>
  </r>
  <r>
    <x v="689"/>
    <n v="2947.45"/>
    <n v="1.5E-3"/>
  </r>
  <r>
    <x v="690"/>
    <n v="2956.95"/>
    <n v="3.2000000000000002E-3"/>
  </r>
  <r>
    <x v="691"/>
    <n v="2951.15"/>
    <n v="-2E-3"/>
  </r>
  <r>
    <x v="692"/>
    <n v="2987.15"/>
    <n v="1.2200000000000001E-2"/>
  </r>
  <r>
    <x v="693"/>
    <n v="2995.95"/>
    <n v="2.8999999999999998E-3"/>
  </r>
  <r>
    <x v="694"/>
    <n v="3023.1"/>
    <n v="9.1000000000000004E-3"/>
  </r>
  <r>
    <x v="695"/>
    <n v="3087.4"/>
    <n v="2.1299999999999999E-2"/>
  </r>
  <r>
    <x v="696"/>
    <n v="3133.85"/>
    <n v="1.4999999999999999E-2"/>
  </r>
  <r>
    <x v="697"/>
    <n v="3086.55"/>
    <n v="-1.5100000000000001E-2"/>
  </r>
  <r>
    <x v="698"/>
    <n v="3089.05"/>
    <n v="8.0000000000000004E-4"/>
  </r>
  <r>
    <x v="699"/>
    <n v="3147.85"/>
    <n v="1.9E-2"/>
  </r>
  <r>
    <x v="700"/>
    <n v="3189.8"/>
    <n v="1.3299999999999999E-2"/>
  </r>
  <r>
    <x v="701"/>
    <n v="3190.4"/>
    <n v="2.0000000000000001E-4"/>
  </r>
  <r>
    <x v="702"/>
    <n v="3186.5"/>
    <n v="-1.1999999999999999E-3"/>
  </r>
  <r>
    <x v="703"/>
    <n v="3170.25"/>
    <n v="-5.1000000000000004E-3"/>
  </r>
  <r>
    <x v="704"/>
    <n v="3140.7"/>
    <n v="-9.2999999999999992E-3"/>
  </r>
  <r>
    <x v="705"/>
    <n v="3166.4"/>
    <n v="8.2000000000000007E-3"/>
  </r>
  <r>
    <x v="706"/>
    <n v="3117.8"/>
    <n v="-1.5299999999999999E-2"/>
  </r>
  <r>
    <x v="707"/>
    <n v="3119.58"/>
    <n v="5.9999999999999995E-4"/>
  </r>
  <r>
    <x v="708"/>
    <n v="3140.9"/>
    <n v="6.7999999999999996E-3"/>
  </r>
  <r>
    <x v="709"/>
    <n v="3175.35"/>
    <n v="1.0999999999999999E-2"/>
  </r>
  <r>
    <x v="710"/>
    <n v="3199.35"/>
    <n v="7.6E-3"/>
  </r>
  <r>
    <x v="711"/>
    <n v="3210.35"/>
    <n v="3.3999999999999998E-3"/>
  </r>
  <r>
    <x v="712"/>
    <n v="3267"/>
    <n v="1.7600000000000001E-2"/>
  </r>
  <r>
    <x v="713"/>
    <n v="3230.5"/>
    <n v="-1.12E-2"/>
  </r>
  <r>
    <x v="714"/>
    <n v="3117.65"/>
    <n v="-3.49E-2"/>
  </r>
  <r>
    <x v="715"/>
    <n v="3054.2"/>
    <n v="-2.0400000000000001E-2"/>
  </r>
  <r>
    <x v="716"/>
    <n v="3105.15"/>
    <n v="1.67E-2"/>
  </r>
  <r>
    <x v="717"/>
    <n v="3052.15"/>
    <n v="-1.7100000000000001E-2"/>
  </r>
  <r>
    <x v="718"/>
    <n v="3035.1"/>
    <n v="-5.5999999999999999E-3"/>
  </r>
  <r>
    <x v="719"/>
    <n v="3111.65"/>
    <n v="2.52E-2"/>
  </r>
  <r>
    <x v="720"/>
    <n v="3129.55"/>
    <n v="5.7999999999999996E-3"/>
  </r>
  <r>
    <x v="721"/>
    <n v="3101.5"/>
    <n v="-8.9999999999999993E-3"/>
  </r>
  <r>
    <x v="722"/>
    <n v="3119.85"/>
    <n v="5.8999999999999999E-3"/>
  </r>
  <r>
    <x v="723"/>
    <n v="3097.15"/>
    <n v="-7.3000000000000001E-3"/>
  </r>
  <r>
    <x v="724"/>
    <n v="3095.75"/>
    <n v="-5.0000000000000001E-4"/>
  </r>
  <r>
    <x v="725"/>
    <n v="3045.3"/>
    <n v="-1.6299999999999999E-2"/>
  </r>
  <r>
    <x v="726"/>
    <n v="3040.3"/>
    <n v="-1.6000000000000001E-3"/>
  </r>
  <r>
    <x v="727"/>
    <n v="3084.5"/>
    <n v="1.4500000000000001E-2"/>
  </r>
  <r>
    <x v="728"/>
    <n v="3071.85"/>
    <n v="-4.1000000000000003E-3"/>
  </r>
  <r>
    <x v="729"/>
    <n v="3101.9"/>
    <n v="9.7999999999999997E-3"/>
  </r>
  <r>
    <x v="730"/>
    <n v="3092.75"/>
    <n v="-2.8999999999999998E-3"/>
  </r>
  <r>
    <x v="731"/>
    <n v="3110.9"/>
    <n v="5.8999999999999999E-3"/>
  </r>
  <r>
    <x v="732"/>
    <n v="3175.4"/>
    <n v="2.07E-2"/>
  </r>
  <r>
    <x v="733"/>
    <n v="3148.1"/>
    <n v="-8.6E-3"/>
  </r>
  <r>
    <x v="734"/>
    <n v="3146.9"/>
    <n v="-4.0000000000000002E-4"/>
  </r>
  <r>
    <x v="735"/>
    <n v="3194.45"/>
    <n v="1.5100000000000001E-2"/>
  </r>
  <r>
    <x v="736"/>
    <n v="3277.5"/>
    <n v="2.5999999999999999E-2"/>
  </r>
  <r>
    <x v="737"/>
    <n v="3333.5"/>
    <n v="1.7100000000000001E-2"/>
  </r>
  <r>
    <x v="738"/>
    <n v="3279.95"/>
    <n v="-1.61E-2"/>
  </r>
  <r>
    <x v="739"/>
    <n v="3425.9"/>
    <n v="4.4499999999999998E-2"/>
  </r>
  <r>
    <x v="740"/>
    <n v="3384.45"/>
    <n v="-1.21E-2"/>
  </r>
  <r>
    <x v="741"/>
    <n v="3393"/>
    <n v="2.5000000000000001E-3"/>
  </r>
  <r>
    <x v="742"/>
    <n v="3446"/>
    <n v="1.5599999999999999E-2"/>
  </r>
  <r>
    <x v="743"/>
    <n v="3519.35"/>
    <n v="2.1299999999999999E-2"/>
  </r>
  <r>
    <x v="744"/>
    <n v="3420"/>
    <n v="-2.8199999999999999E-2"/>
  </r>
  <r>
    <x v="745"/>
    <n v="3391.2"/>
    <n v="-8.3999999999999995E-3"/>
  </r>
  <r>
    <x v="746"/>
    <n v="3369.6"/>
    <n v="-6.4000000000000003E-3"/>
  </r>
  <r>
    <x v="747"/>
    <n v="3415.18"/>
    <n v="1.35E-2"/>
  </r>
  <r>
    <x v="748"/>
    <n v="3242"/>
    <n v="-5.0700000000000002E-2"/>
  </r>
  <r>
    <x v="749"/>
    <n v="3194.95"/>
    <n v="-1.4500000000000001E-2"/>
  </r>
  <r>
    <x v="750"/>
    <n v="3227.5"/>
    <n v="1.0200000000000001E-2"/>
  </r>
  <r>
    <x v="751"/>
    <n v="3239.5"/>
    <n v="3.7000000000000002E-3"/>
  </r>
  <r>
    <x v="752"/>
    <n v="3245.5"/>
    <n v="1.9E-3"/>
  </r>
  <r>
    <x v="753"/>
    <n v="3248.95"/>
    <n v="1.1000000000000001E-3"/>
  </r>
  <r>
    <x v="754"/>
    <n v="3275.2"/>
    <n v="8.0999999999999996E-3"/>
  </r>
  <r>
    <x v="755"/>
    <n v="3431.5"/>
    <n v="4.7699999999999999E-2"/>
  </r>
  <r>
    <x v="756"/>
    <n v="3429.55"/>
    <n v="-5.9999999999999995E-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3-04-30T00:00:00"/>
    <x v="0"/>
    <n v="2360"/>
    <n v="-2.8799999999999999E-2"/>
  </r>
  <r>
    <d v="2023-05-31T00:00:00"/>
    <x v="1"/>
    <n v="2260"/>
    <n v="-4.2372881355932202E-2"/>
  </r>
  <r>
    <d v="2023-06-30T00:00:00"/>
    <x v="2"/>
    <n v="2155"/>
    <n v="-4.6460176991150445E-2"/>
  </r>
  <r>
    <d v="2023-07-31T00:00:00"/>
    <x v="3"/>
    <n v="2262"/>
    <n v="4.9651972157772624E-2"/>
  </r>
  <r>
    <d v="2023-08-31T00:00:00"/>
    <x v="4"/>
    <n v="2236"/>
    <n v="-1.1494252873563218E-2"/>
  </r>
  <r>
    <d v="2023-09-30T00:00:00"/>
    <x v="5"/>
    <n v="2323"/>
    <n v="3.8908765652951698E-2"/>
  </r>
  <r>
    <d v="2023-10-31T00:00:00"/>
    <x v="6"/>
    <n v="2247"/>
    <n v="-3.2716315109771847E-2"/>
  </r>
  <r>
    <d v="2023-11-30T00:00:00"/>
    <x v="7"/>
    <n v="2187"/>
    <n v="-2.67022696929239E-2"/>
  </r>
  <r>
    <d v="2023-12-31T00:00:00"/>
    <x v="8"/>
    <n v="2384"/>
    <n v="9.0077732053040691E-2"/>
  </r>
  <r>
    <d v="2024-01-31T00:00:00"/>
    <x v="9"/>
    <n v="2251"/>
    <n v="-5.5788590604026848E-2"/>
  </r>
  <r>
    <d v="2024-02-29T00:00:00"/>
    <x v="10"/>
    <n v="2225"/>
    <n v="-1.1550422034651266E-2"/>
  </r>
  <r>
    <d v="2024-03-31T00:00:00"/>
    <x v="11"/>
    <n v="2370"/>
    <n v="6.5168539325842698E-2"/>
  </r>
  <r>
    <d v="2024-04-30T00:00:00"/>
    <x v="12"/>
    <n v="2572"/>
    <n v="8.5232067510548529E-2"/>
  </r>
  <r>
    <d v="2024-05-31T00:00:00"/>
    <x v="13"/>
    <n v="2672"/>
    <n v="3.8880248833592534E-2"/>
  </r>
  <r>
    <d v="2024-06-30T00:00:00"/>
    <x v="14"/>
    <n v="2535"/>
    <n v="-5.1272455089820361E-2"/>
  </r>
  <r>
    <d v="2024-07-31T00:00:00"/>
    <x v="15"/>
    <n v="2317"/>
    <n v="-8.5996055226824464E-2"/>
  </r>
  <r>
    <d v="2024-08-31T00:00:00"/>
    <x v="16"/>
    <n v="2454"/>
    <n v="5.9128182995252479E-2"/>
  </r>
  <r>
    <d v="2024-09-30T00:00:00"/>
    <x v="17"/>
    <n v="2600"/>
    <n v="5.9494702526487364E-2"/>
  </r>
  <r>
    <d v="2024-10-31T00:00:00"/>
    <x v="18"/>
    <n v="2627"/>
    <n v="1.0384615384615384E-2"/>
  </r>
  <r>
    <d v="2024-11-30T00:00:00"/>
    <x v="19"/>
    <n v="2601"/>
    <n v="-9.8972211648267992E-3"/>
  </r>
  <r>
    <d v="2024-12-31T00:00:00"/>
    <x v="20"/>
    <n v="2554"/>
    <n v="-1.8069973087274125E-2"/>
  </r>
  <r>
    <d v="2025-01-31T00:00:00"/>
    <x v="21"/>
    <n v="2576.3000000000002"/>
    <n v="8.7314017227878554E-3"/>
  </r>
  <r>
    <d v="2025-02-28T00:00:00"/>
    <x v="22"/>
    <n v="2606.6999999999998"/>
    <n v="1.1799868027791652E-2"/>
  </r>
  <r>
    <d v="2025-03-31T00:00:00"/>
    <x v="23"/>
    <n v="2538.8000000000002"/>
    <n v="-2.6048260252426302E-2"/>
  </r>
  <r>
    <d v="2025-04-30T00:00:00"/>
    <x v="24"/>
    <n v="2399.5500000000002"/>
    <n v="-5.4848747439735307E-2"/>
  </r>
  <r>
    <d v="2025-05-31T00:00:00"/>
    <x v="25"/>
    <n v="2432.6"/>
    <n v="1.3773415848804869E-2"/>
  </r>
  <r>
    <d v="2025-06-30T00:00:00"/>
    <x v="26"/>
    <n v="2607.1"/>
    <n v="7.1733947216969504E-2"/>
  </r>
  <r>
    <d v="2025-07-31T00:00:00"/>
    <x v="27"/>
    <n v="2571.4"/>
    <n v="-1.3693375781519627E-2"/>
  </r>
  <r>
    <d v="2025-08-31T00:00:00"/>
    <x v="28"/>
    <n v="2610.8000000000002"/>
    <n v="1.532239247102749E-2"/>
  </r>
  <r>
    <d v="2025-09-30T00:00:00"/>
    <x v="29"/>
    <n v="2691.65"/>
    <n v="3.096751953424234E-2"/>
  </r>
  <r>
    <d v="2025-10-31T00:00:00"/>
    <x v="30"/>
    <n v="2907.1"/>
    <n v="8.0043839280738507E-2"/>
  </r>
  <r>
    <d v="2025-11-30T00:00:00"/>
    <x v="31"/>
    <n v="2878.3"/>
    <n v="-9.9067799525299188E-3"/>
  </r>
  <r>
    <d v="2025-12-31T00:00:00"/>
    <x v="32"/>
    <n v="2997.6"/>
    <n v="4.1448076989889768E-2"/>
  </r>
  <r>
    <d v="2026-01-31T00:00:00"/>
    <x v="33"/>
    <n v="3030.75"/>
    <n v="1.105884707766216E-2"/>
  </r>
  <r>
    <d v="2026-02-28T00:00:00"/>
    <x v="34"/>
    <n v="3228.15"/>
    <n v="6.5132392972036657E-2"/>
  </r>
  <r>
    <d v="2026-03-31T00:00:00"/>
    <x v="35"/>
    <n v="3442.1"/>
    <n v="6.627635023155671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853CD-583A-4E56-BFA3-353A6A1977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V16" firstHeaderRow="1" firstDataRow="2" firstDataCol="1"/>
  <pivotFields count="7">
    <pivotField numFmtId="14" showAll="0"/>
    <pivotField numFmtId="17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umFmtId="43" showAll="0"/>
    <pivotField dataField="1"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Change %" fld="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9644B-37D5-4094-84FF-C7638F7010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J16" firstHeaderRow="1" firstDataRow="2" firstDataCol="1"/>
  <pivotFields count="6">
    <pivotField numFmtId="14" showAll="0">
      <items count="7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t="default"/>
      </items>
    </pivotField>
    <pivotField numFmtId="43" showAll="0"/>
    <pivotField dataField="1"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Change %" fld="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F0CBDF-4A96-454F-816F-30DDB0FDBD48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4"/>
      <queryTableField id="2" name="Price" tableColumnId="2"/>
      <queryTableField id="3" name="Change %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33B1A1-EDCA-43B3-96A4-79684E6C18A8}" name="Aluminium_Historical_Data__2" displayName="Aluminium_Historical_Data__2" ref="A1:C758" tableType="queryTable" totalsRowShown="0">
  <autoFilter ref="A1:C758" xr:uid="{B533B1A1-EDCA-43B3-96A4-79684E6C18A8}"/>
  <tableColumns count="3">
    <tableColumn id="4" xr3:uid="{305CFCA1-C310-451B-95C2-1071A793A417}" uniqueName="4" name="Date" queryTableFieldId="1" dataDxfId="3"/>
    <tableColumn id="2" xr3:uid="{DAA6BB94-AA9D-420D-9885-2A53F24849D8}" uniqueName="2" name="Price" queryTableFieldId="2" dataCellStyle="Comma"/>
    <tableColumn id="3" xr3:uid="{3FDF4642-5927-4C1A-AF00-FE61DC953BB2}" uniqueName="3" name="Change %" queryTableFieldId="3" dataDxfId="2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showGridLines="0" topLeftCell="A43" zoomScale="85" zoomScaleNormal="85" workbookViewId="0">
      <selection activeCell="Y15" sqref="Y15"/>
    </sheetView>
  </sheetViews>
  <sheetFormatPr defaultRowHeight="14.4" x14ac:dyDescent="0.3"/>
  <sheetData>
    <row r="1" spans="1:25" ht="31.2" x14ac:dyDescent="0.3">
      <c r="A1" s="159" t="s">
        <v>203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</row>
    <row r="3" spans="1:25" ht="25.8" x14ac:dyDescent="0.3">
      <c r="A3" s="162" t="s">
        <v>221</v>
      </c>
    </row>
    <row r="5" spans="1:25" ht="15.6" x14ac:dyDescent="0.3">
      <c r="A5" s="161" t="s">
        <v>204</v>
      </c>
    </row>
    <row r="6" spans="1:25" ht="15.6" x14ac:dyDescent="0.3">
      <c r="A6" s="161" t="s">
        <v>205</v>
      </c>
    </row>
    <row r="7" spans="1:25" ht="15.6" x14ac:dyDescent="0.3">
      <c r="A7" s="161" t="s">
        <v>222</v>
      </c>
    </row>
    <row r="8" spans="1:25" ht="15.6" x14ac:dyDescent="0.3">
      <c r="A8" s="161" t="s">
        <v>206</v>
      </c>
    </row>
    <row r="9" spans="1:25" ht="15.6" x14ac:dyDescent="0.3">
      <c r="A9" s="161" t="s">
        <v>223</v>
      </c>
    </row>
    <row r="10" spans="1:25" ht="15.6" x14ac:dyDescent="0.3">
      <c r="A10" s="161" t="s">
        <v>207</v>
      </c>
    </row>
    <row r="11" spans="1:25" ht="15.6" x14ac:dyDescent="0.3">
      <c r="A11" s="161" t="s">
        <v>224</v>
      </c>
    </row>
    <row r="12" spans="1:25" ht="15.6" x14ac:dyDescent="0.3">
      <c r="A12" s="161" t="s">
        <v>208</v>
      </c>
    </row>
    <row r="13" spans="1:25" ht="15.6" x14ac:dyDescent="0.3">
      <c r="A13" s="161" t="s">
        <v>219</v>
      </c>
    </row>
    <row r="14" spans="1:25" ht="15.6" x14ac:dyDescent="0.3">
      <c r="A14" s="161" t="s">
        <v>220</v>
      </c>
    </row>
    <row r="15" spans="1:25" ht="15.6" x14ac:dyDescent="0.3">
      <c r="A15" s="161" t="s">
        <v>209</v>
      </c>
    </row>
    <row r="16" spans="1:25" ht="13.2" customHeight="1" x14ac:dyDescent="0.3">
      <c r="A16" s="161" t="s">
        <v>212</v>
      </c>
    </row>
    <row r="17" spans="1:8" ht="15.6" x14ac:dyDescent="0.3">
      <c r="A17" s="161" t="s">
        <v>210</v>
      </c>
    </row>
    <row r="18" spans="1:8" ht="15.6" x14ac:dyDescent="0.3">
      <c r="A18" s="161" t="s">
        <v>211</v>
      </c>
    </row>
    <row r="21" spans="1:8" ht="25.8" x14ac:dyDescent="0.3">
      <c r="A21" s="163" t="s">
        <v>0</v>
      </c>
      <c r="B21" s="164"/>
      <c r="C21" s="164"/>
      <c r="D21" s="164"/>
      <c r="E21" s="164"/>
      <c r="F21" s="164"/>
      <c r="G21" s="164"/>
      <c r="H21" s="164"/>
    </row>
    <row r="23" spans="1:8" ht="15.6" x14ac:dyDescent="0.3">
      <c r="A23" s="161" t="s">
        <v>1</v>
      </c>
    </row>
    <row r="24" spans="1:8" ht="15.6" x14ac:dyDescent="0.3">
      <c r="A24" s="161"/>
    </row>
    <row r="25" spans="1:8" ht="15.6" x14ac:dyDescent="0.3">
      <c r="A25" s="166" t="s">
        <v>213</v>
      </c>
    </row>
    <row r="26" spans="1:8" ht="15.6" x14ac:dyDescent="0.3">
      <c r="A26" s="166" t="s">
        <v>199</v>
      </c>
    </row>
    <row r="27" spans="1:8" ht="15.6" x14ac:dyDescent="0.3">
      <c r="A27" s="166" t="s">
        <v>214</v>
      </c>
    </row>
    <row r="28" spans="1:8" ht="15.6" x14ac:dyDescent="0.3">
      <c r="A28" s="166" t="s">
        <v>215</v>
      </c>
    </row>
    <row r="29" spans="1:8" ht="15.6" x14ac:dyDescent="0.3">
      <c r="A29" s="166" t="s">
        <v>216</v>
      </c>
    </row>
    <row r="30" spans="1:8" ht="15.6" x14ac:dyDescent="0.3">
      <c r="A30" s="166" t="s">
        <v>217</v>
      </c>
    </row>
    <row r="31" spans="1:8" ht="15.6" x14ac:dyDescent="0.3">
      <c r="A31" s="166" t="s">
        <v>216</v>
      </c>
    </row>
    <row r="32" spans="1:8" x14ac:dyDescent="0.3">
      <c r="A32" s="160" t="s">
        <v>218</v>
      </c>
    </row>
    <row r="35" spans="1:8" ht="25.8" x14ac:dyDescent="0.3">
      <c r="A35" s="163" t="s">
        <v>2</v>
      </c>
      <c r="B35" s="164"/>
      <c r="C35" s="164"/>
      <c r="D35" s="164"/>
      <c r="E35" s="164"/>
      <c r="F35" s="164"/>
      <c r="G35" s="164"/>
      <c r="H35" s="164"/>
    </row>
    <row r="37" spans="1:8" ht="15.6" x14ac:dyDescent="0.3">
      <c r="A37" s="161" t="s">
        <v>3</v>
      </c>
    </row>
    <row r="38" spans="1:8" ht="15.6" x14ac:dyDescent="0.3">
      <c r="A38" s="165"/>
    </row>
    <row r="39" spans="1:8" ht="15.6" x14ac:dyDescent="0.3">
      <c r="A39" s="165" t="s">
        <v>4</v>
      </c>
    </row>
    <row r="40" spans="1:8" ht="15.6" x14ac:dyDescent="0.3">
      <c r="A40" s="165" t="s">
        <v>5</v>
      </c>
    </row>
    <row r="41" spans="1:8" ht="15.6" x14ac:dyDescent="0.3">
      <c r="A41" s="165" t="s">
        <v>6</v>
      </c>
    </row>
    <row r="42" spans="1:8" ht="15.6" x14ac:dyDescent="0.3">
      <c r="A42" s="165" t="s">
        <v>7</v>
      </c>
    </row>
    <row r="43" spans="1:8" ht="15.6" x14ac:dyDescent="0.3">
      <c r="A43" s="165" t="s">
        <v>8</v>
      </c>
    </row>
    <row r="44" spans="1:8" ht="15.6" x14ac:dyDescent="0.3">
      <c r="A44" s="165" t="s">
        <v>9</v>
      </c>
    </row>
    <row r="45" spans="1:8" ht="15.6" x14ac:dyDescent="0.3">
      <c r="A45" s="165" t="s">
        <v>10</v>
      </c>
    </row>
    <row r="46" spans="1:8" ht="15.6" x14ac:dyDescent="0.3">
      <c r="A46" s="165" t="s">
        <v>11</v>
      </c>
    </row>
  </sheetData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CD5D-89AE-4B6E-AB2D-3351AD8D28E6}">
  <dimension ref="A1:G20"/>
  <sheetViews>
    <sheetView showGridLines="0" workbookViewId="0">
      <selection activeCell="D22" sqref="D22"/>
    </sheetView>
  </sheetViews>
  <sheetFormatPr defaultRowHeight="14.4" x14ac:dyDescent="0.3"/>
  <cols>
    <col min="1" max="1" width="9.77734375" bestFit="1" customWidth="1"/>
    <col min="2" max="2" width="18.77734375" bestFit="1" customWidth="1"/>
    <col min="3" max="3" width="21" bestFit="1" customWidth="1"/>
    <col min="4" max="4" width="18.5546875" bestFit="1" customWidth="1"/>
    <col min="6" max="6" width="29" bestFit="1" customWidth="1"/>
    <col min="7" max="7" width="40.6640625" bestFit="1" customWidth="1"/>
  </cols>
  <sheetData>
    <row r="1" spans="1:7" ht="21" x14ac:dyDescent="0.4">
      <c r="A1" s="133" t="s">
        <v>200</v>
      </c>
      <c r="B1" s="133"/>
      <c r="C1" s="133"/>
      <c r="D1" s="133"/>
      <c r="E1" s="133"/>
      <c r="F1" s="133"/>
      <c r="G1" s="133"/>
    </row>
    <row r="4" spans="1:7" x14ac:dyDescent="0.3">
      <c r="A4" s="85" t="s">
        <v>33</v>
      </c>
      <c r="B4" s="86" t="s">
        <v>54</v>
      </c>
      <c r="C4" s="86" t="s">
        <v>34</v>
      </c>
      <c r="D4" s="86" t="s">
        <v>35</v>
      </c>
      <c r="F4" s="85" t="s">
        <v>12</v>
      </c>
      <c r="G4" s="86" t="s">
        <v>13</v>
      </c>
    </row>
    <row r="5" spans="1:7" x14ac:dyDescent="0.3">
      <c r="A5" s="1" t="s">
        <v>36</v>
      </c>
      <c r="B5" s="4">
        <v>120000</v>
      </c>
      <c r="C5" s="3">
        <v>4.5</v>
      </c>
      <c r="D5" s="4">
        <v>540000</v>
      </c>
      <c r="F5" s="1" t="s">
        <v>14</v>
      </c>
      <c r="G5" s="3" t="s">
        <v>15</v>
      </c>
    </row>
    <row r="6" spans="1:7" x14ac:dyDescent="0.3">
      <c r="A6" s="1" t="s">
        <v>37</v>
      </c>
      <c r="B6" s="4">
        <v>125000</v>
      </c>
      <c r="C6" s="3">
        <v>4.5</v>
      </c>
      <c r="D6" s="4">
        <v>562500</v>
      </c>
      <c r="F6" s="1" t="s">
        <v>16</v>
      </c>
      <c r="G6" s="3" t="s">
        <v>17</v>
      </c>
    </row>
    <row r="7" spans="1:7" x14ac:dyDescent="0.3">
      <c r="A7" s="1" t="s">
        <v>38</v>
      </c>
      <c r="B7" s="4">
        <v>130000</v>
      </c>
      <c r="C7" s="3">
        <v>4.5</v>
      </c>
      <c r="D7" s="4">
        <v>585000</v>
      </c>
      <c r="F7" s="1" t="s">
        <v>18</v>
      </c>
      <c r="G7" s="2" t="s">
        <v>19</v>
      </c>
    </row>
    <row r="8" spans="1:7" x14ac:dyDescent="0.3">
      <c r="A8" s="1" t="s">
        <v>39</v>
      </c>
      <c r="B8" s="4">
        <v>135000</v>
      </c>
      <c r="C8" s="3">
        <v>4.5999999999999996</v>
      </c>
      <c r="D8" s="4">
        <v>621000</v>
      </c>
      <c r="F8" s="1" t="s">
        <v>20</v>
      </c>
      <c r="G8" s="2" t="s">
        <v>21</v>
      </c>
    </row>
    <row r="9" spans="1:7" x14ac:dyDescent="0.3">
      <c r="A9" s="1" t="s">
        <v>40</v>
      </c>
      <c r="B9" s="4">
        <v>140000</v>
      </c>
      <c r="C9" s="3">
        <v>4.5999999999999996</v>
      </c>
      <c r="D9" s="4">
        <v>644000</v>
      </c>
      <c r="F9" s="1" t="s">
        <v>52</v>
      </c>
      <c r="G9" s="2" t="s">
        <v>51</v>
      </c>
    </row>
    <row r="10" spans="1:7" x14ac:dyDescent="0.3">
      <c r="A10" s="1" t="s">
        <v>41</v>
      </c>
      <c r="B10" s="4">
        <v>145000</v>
      </c>
      <c r="C10" s="3">
        <v>4.5999999999999996</v>
      </c>
      <c r="D10" s="4">
        <v>667000</v>
      </c>
      <c r="F10" s="1" t="s">
        <v>22</v>
      </c>
      <c r="G10" s="2" t="s">
        <v>23</v>
      </c>
    </row>
    <row r="11" spans="1:7" x14ac:dyDescent="0.3">
      <c r="A11" s="1" t="s">
        <v>42</v>
      </c>
      <c r="B11" s="4">
        <v>155000</v>
      </c>
      <c r="C11" s="3">
        <v>4.7</v>
      </c>
      <c r="D11" s="4">
        <v>728500</v>
      </c>
      <c r="F11" s="1" t="s">
        <v>24</v>
      </c>
      <c r="G11" s="2" t="s">
        <v>25</v>
      </c>
    </row>
    <row r="12" spans="1:7" x14ac:dyDescent="0.3">
      <c r="A12" s="1" t="s">
        <v>43</v>
      </c>
      <c r="B12" s="4">
        <v>165000</v>
      </c>
      <c r="C12" s="3">
        <v>4.7</v>
      </c>
      <c r="D12" s="4">
        <v>775500</v>
      </c>
      <c r="F12" s="1" t="s">
        <v>26</v>
      </c>
      <c r="G12" s="2" t="s">
        <v>27</v>
      </c>
    </row>
    <row r="13" spans="1:7" x14ac:dyDescent="0.3">
      <c r="A13" s="1" t="s">
        <v>44</v>
      </c>
      <c r="B13" s="4">
        <v>180000</v>
      </c>
      <c r="C13" s="3">
        <v>4.8</v>
      </c>
      <c r="D13" s="4">
        <v>864000</v>
      </c>
      <c r="F13" s="1" t="s">
        <v>53</v>
      </c>
      <c r="G13" s="3" t="s">
        <v>50</v>
      </c>
    </row>
    <row r="14" spans="1:7" x14ac:dyDescent="0.3">
      <c r="A14" s="1" t="s">
        <v>45</v>
      </c>
      <c r="B14" s="4">
        <v>170000</v>
      </c>
      <c r="C14" s="3">
        <v>4.8</v>
      </c>
      <c r="D14" s="4">
        <v>816000</v>
      </c>
      <c r="F14" s="1" t="s">
        <v>28</v>
      </c>
      <c r="G14" s="3" t="s">
        <v>29</v>
      </c>
    </row>
    <row r="15" spans="1:7" x14ac:dyDescent="0.3">
      <c r="A15" s="1" t="s">
        <v>46</v>
      </c>
      <c r="B15" s="4">
        <v>160000</v>
      </c>
      <c r="C15" s="3">
        <v>4.8</v>
      </c>
      <c r="D15" s="4">
        <v>768000</v>
      </c>
      <c r="F15" s="1" t="s">
        <v>30</v>
      </c>
      <c r="G15" s="2" t="s">
        <v>185</v>
      </c>
    </row>
    <row r="16" spans="1:7" x14ac:dyDescent="0.3">
      <c r="A16" s="1" t="s">
        <v>47</v>
      </c>
      <c r="B16" s="4">
        <v>175000</v>
      </c>
      <c r="C16" s="3">
        <v>4.9000000000000004</v>
      </c>
      <c r="D16" s="4">
        <v>857500</v>
      </c>
      <c r="F16" s="1" t="s">
        <v>31</v>
      </c>
      <c r="G16" s="2" t="s">
        <v>32</v>
      </c>
    </row>
    <row r="17" spans="1:7" x14ac:dyDescent="0.3">
      <c r="A17" s="5" t="s">
        <v>48</v>
      </c>
      <c r="B17" s="6">
        <v>1800000</v>
      </c>
      <c r="C17" s="3" t="s">
        <v>49</v>
      </c>
      <c r="D17" s="6">
        <v>8429000</v>
      </c>
      <c r="F17" s="1"/>
      <c r="G17" s="2"/>
    </row>
    <row r="18" spans="1:7" x14ac:dyDescent="0.3">
      <c r="F18" s="1"/>
      <c r="G18" s="2"/>
    </row>
    <row r="19" spans="1:7" x14ac:dyDescent="0.3">
      <c r="F19" s="1"/>
      <c r="G19" s="2"/>
    </row>
    <row r="20" spans="1:7" x14ac:dyDescent="0.3">
      <c r="F20" s="1"/>
      <c r="G2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ED9B-ED2F-4274-B4F4-D9DB399FEA7E}">
  <dimension ref="A1:N10"/>
  <sheetViews>
    <sheetView showGridLines="0" workbookViewId="0">
      <selection sqref="A1:M1"/>
    </sheetView>
  </sheetViews>
  <sheetFormatPr defaultRowHeight="14.4" x14ac:dyDescent="0.3"/>
  <cols>
    <col min="1" max="1" width="29.6640625" style="9" bestFit="1" customWidth="1"/>
    <col min="2" max="13" width="8.77734375" style="9" bestFit="1" customWidth="1"/>
    <col min="14" max="14" width="6.109375" style="9" bestFit="1" customWidth="1"/>
    <col min="15" max="16384" width="8.88671875" style="9"/>
  </cols>
  <sheetData>
    <row r="1" spans="1:14" ht="21" x14ac:dyDescent="0.4">
      <c r="A1" s="134" t="s">
        <v>199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4" spans="1:14" x14ac:dyDescent="0.3">
      <c r="A4" s="15" t="s">
        <v>12</v>
      </c>
      <c r="B4" s="16" t="s">
        <v>55</v>
      </c>
      <c r="C4" s="16" t="s">
        <v>37</v>
      </c>
      <c r="D4" s="16" t="s">
        <v>56</v>
      </c>
      <c r="E4" s="16" t="s">
        <v>57</v>
      </c>
      <c r="F4" s="16" t="s">
        <v>58</v>
      </c>
      <c r="G4" s="16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65</v>
      </c>
      <c r="N4" s="8"/>
    </row>
    <row r="5" spans="1:14" x14ac:dyDescent="0.3">
      <c r="A5" s="10" t="s">
        <v>66</v>
      </c>
      <c r="B5" s="11">
        <v>120000</v>
      </c>
      <c r="C5" s="11">
        <v>125000</v>
      </c>
      <c r="D5" s="11">
        <v>130000</v>
      </c>
      <c r="E5" s="11">
        <v>135000</v>
      </c>
      <c r="F5" s="11">
        <v>140000</v>
      </c>
      <c r="G5" s="11">
        <v>145000</v>
      </c>
      <c r="H5" s="11">
        <v>155000</v>
      </c>
      <c r="I5" s="11">
        <v>165000</v>
      </c>
      <c r="J5" s="11">
        <v>180000</v>
      </c>
      <c r="K5" s="11">
        <v>170000</v>
      </c>
      <c r="L5" s="11">
        <v>160000</v>
      </c>
      <c r="M5" s="11">
        <v>175000</v>
      </c>
      <c r="N5" s="11"/>
    </row>
    <row r="6" spans="1:14" x14ac:dyDescent="0.3">
      <c r="A6" s="10" t="s">
        <v>67</v>
      </c>
      <c r="B6" s="11">
        <f>C5*10%</f>
        <v>12500</v>
      </c>
      <c r="C6" s="11">
        <f t="shared" ref="C6:M6" si="0">D5*10%</f>
        <v>13000</v>
      </c>
      <c r="D6" s="11">
        <f t="shared" si="0"/>
        <v>13500</v>
      </c>
      <c r="E6" s="11">
        <f t="shared" si="0"/>
        <v>14000</v>
      </c>
      <c r="F6" s="11">
        <f t="shared" si="0"/>
        <v>14500</v>
      </c>
      <c r="G6" s="11">
        <f t="shared" si="0"/>
        <v>15500</v>
      </c>
      <c r="H6" s="11">
        <f t="shared" si="0"/>
        <v>16500</v>
      </c>
      <c r="I6" s="11">
        <f t="shared" si="0"/>
        <v>18000</v>
      </c>
      <c r="J6" s="11">
        <f t="shared" si="0"/>
        <v>17000</v>
      </c>
      <c r="K6" s="11">
        <f t="shared" si="0"/>
        <v>16000</v>
      </c>
      <c r="L6" s="11">
        <f t="shared" si="0"/>
        <v>17500</v>
      </c>
      <c r="M6" s="11">
        <f t="shared" si="0"/>
        <v>0</v>
      </c>
      <c r="N6" s="11"/>
    </row>
    <row r="7" spans="1:14" x14ac:dyDescent="0.3">
      <c r="A7" s="10" t="s">
        <v>68</v>
      </c>
      <c r="B7" s="11">
        <f>SUM(B5:B6)</f>
        <v>132500</v>
      </c>
      <c r="C7" s="11">
        <f t="shared" ref="C7:M7" si="1">SUM(C5:C6)</f>
        <v>138000</v>
      </c>
      <c r="D7" s="11">
        <f t="shared" si="1"/>
        <v>143500</v>
      </c>
      <c r="E7" s="11">
        <f t="shared" si="1"/>
        <v>149000</v>
      </c>
      <c r="F7" s="11">
        <f t="shared" si="1"/>
        <v>154500</v>
      </c>
      <c r="G7" s="11">
        <f t="shared" si="1"/>
        <v>160500</v>
      </c>
      <c r="H7" s="11">
        <f t="shared" si="1"/>
        <v>171500</v>
      </c>
      <c r="I7" s="11">
        <f t="shared" si="1"/>
        <v>183000</v>
      </c>
      <c r="J7" s="11">
        <f t="shared" si="1"/>
        <v>197000</v>
      </c>
      <c r="K7" s="11">
        <f t="shared" si="1"/>
        <v>186000</v>
      </c>
      <c r="L7" s="11">
        <f t="shared" si="1"/>
        <v>177500</v>
      </c>
      <c r="M7" s="11">
        <f t="shared" si="1"/>
        <v>175000</v>
      </c>
      <c r="N7" s="11"/>
    </row>
    <row r="8" spans="1:14" x14ac:dyDescent="0.3">
      <c r="A8" s="10" t="s">
        <v>69</v>
      </c>
      <c r="B8" s="11"/>
      <c r="C8" s="11">
        <f>B6</f>
        <v>12500</v>
      </c>
      <c r="D8" s="11">
        <f t="shared" ref="D8:M8" si="2">C6</f>
        <v>13000</v>
      </c>
      <c r="E8" s="11">
        <f t="shared" si="2"/>
        <v>13500</v>
      </c>
      <c r="F8" s="11">
        <f t="shared" si="2"/>
        <v>14000</v>
      </c>
      <c r="G8" s="11">
        <f t="shared" si="2"/>
        <v>14500</v>
      </c>
      <c r="H8" s="11">
        <f t="shared" si="2"/>
        <v>15500</v>
      </c>
      <c r="I8" s="11">
        <f t="shared" si="2"/>
        <v>16500</v>
      </c>
      <c r="J8" s="11">
        <f t="shared" si="2"/>
        <v>18000</v>
      </c>
      <c r="K8" s="11">
        <f t="shared" si="2"/>
        <v>17000</v>
      </c>
      <c r="L8" s="11">
        <f t="shared" si="2"/>
        <v>16000</v>
      </c>
      <c r="M8" s="11">
        <f t="shared" si="2"/>
        <v>17500</v>
      </c>
      <c r="N8" s="11"/>
    </row>
    <row r="9" spans="1:14" ht="15" thickBot="1" x14ac:dyDescent="0.35">
      <c r="A9" s="13" t="s">
        <v>70</v>
      </c>
      <c r="B9" s="14">
        <f>B7-B8</f>
        <v>132500</v>
      </c>
      <c r="C9" s="14">
        <f t="shared" ref="C9:M9" si="3">C7-C8</f>
        <v>125500</v>
      </c>
      <c r="D9" s="14">
        <f t="shared" si="3"/>
        <v>130500</v>
      </c>
      <c r="E9" s="14">
        <f t="shared" si="3"/>
        <v>135500</v>
      </c>
      <c r="F9" s="14">
        <f t="shared" si="3"/>
        <v>140500</v>
      </c>
      <c r="G9" s="14">
        <f t="shared" si="3"/>
        <v>146000</v>
      </c>
      <c r="H9" s="14">
        <f t="shared" si="3"/>
        <v>156000</v>
      </c>
      <c r="I9" s="14">
        <f t="shared" si="3"/>
        <v>166500</v>
      </c>
      <c r="J9" s="14">
        <f t="shared" si="3"/>
        <v>179000</v>
      </c>
      <c r="K9" s="14">
        <f t="shared" si="3"/>
        <v>169000</v>
      </c>
      <c r="L9" s="14">
        <f t="shared" si="3"/>
        <v>161500</v>
      </c>
      <c r="M9" s="14">
        <f t="shared" si="3"/>
        <v>157500</v>
      </c>
      <c r="N9" s="11"/>
    </row>
    <row r="10" spans="1:14" x14ac:dyDescent="0.3">
      <c r="A10" s="81" t="s">
        <v>128</v>
      </c>
      <c r="B10" s="82">
        <f>B9/200000</f>
        <v>0.66249999999999998</v>
      </c>
      <c r="C10" s="82">
        <f t="shared" ref="C10:M10" si="4">C9/200000</f>
        <v>0.62749999999999995</v>
      </c>
      <c r="D10" s="82">
        <f t="shared" si="4"/>
        <v>0.65249999999999997</v>
      </c>
      <c r="E10" s="82">
        <f t="shared" si="4"/>
        <v>0.67749999999999999</v>
      </c>
      <c r="F10" s="82">
        <f t="shared" si="4"/>
        <v>0.70250000000000001</v>
      </c>
      <c r="G10" s="82">
        <f t="shared" si="4"/>
        <v>0.73</v>
      </c>
      <c r="H10" s="82">
        <f t="shared" si="4"/>
        <v>0.78</v>
      </c>
      <c r="I10" s="82">
        <f t="shared" si="4"/>
        <v>0.83250000000000002</v>
      </c>
      <c r="J10" s="82">
        <f t="shared" si="4"/>
        <v>0.89500000000000002</v>
      </c>
      <c r="K10" s="82">
        <f t="shared" si="4"/>
        <v>0.84499999999999997</v>
      </c>
      <c r="L10" s="82">
        <f t="shared" si="4"/>
        <v>0.8075</v>
      </c>
      <c r="M10" s="82">
        <f t="shared" si="4"/>
        <v>0.78749999999999998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E6A7-94C9-4D24-8135-7A34EE580D77}">
  <dimension ref="A1:N22"/>
  <sheetViews>
    <sheetView showGridLines="0" workbookViewId="0">
      <selection sqref="A1:M1"/>
    </sheetView>
  </sheetViews>
  <sheetFormatPr defaultRowHeight="14.4" x14ac:dyDescent="0.3"/>
  <cols>
    <col min="1" max="1" width="31.44140625" style="9" bestFit="1" customWidth="1"/>
    <col min="2" max="13" width="10" style="9" bestFit="1" customWidth="1"/>
    <col min="14" max="14" width="6.109375" style="9" bestFit="1" customWidth="1"/>
    <col min="15" max="16384" width="8.88671875" style="9"/>
  </cols>
  <sheetData>
    <row r="1" spans="1:14" ht="23.4" x14ac:dyDescent="0.45">
      <c r="A1" s="135" t="s">
        <v>198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3" spans="1:14" x14ac:dyDescent="0.3">
      <c r="A3" s="15" t="s">
        <v>12</v>
      </c>
      <c r="B3" s="16" t="s">
        <v>55</v>
      </c>
      <c r="C3" s="16" t="s">
        <v>37</v>
      </c>
      <c r="D3" s="16" t="s">
        <v>56</v>
      </c>
      <c r="E3" s="16" t="s">
        <v>57</v>
      </c>
      <c r="F3" s="16" t="s">
        <v>58</v>
      </c>
      <c r="G3" s="16" t="s">
        <v>59</v>
      </c>
      <c r="H3" s="16" t="s">
        <v>60</v>
      </c>
      <c r="I3" s="16" t="s">
        <v>61</v>
      </c>
      <c r="J3" s="16" t="s">
        <v>62</v>
      </c>
      <c r="K3" s="16" t="s">
        <v>63</v>
      </c>
      <c r="L3" s="16" t="s">
        <v>64</v>
      </c>
      <c r="M3" s="16" t="s">
        <v>65</v>
      </c>
      <c r="N3" s="8"/>
    </row>
    <row r="4" spans="1:14" x14ac:dyDescent="0.3">
      <c r="A4" s="10" t="s">
        <v>71</v>
      </c>
      <c r="B4" s="11">
        <f>'Production Budget'!B9</f>
        <v>132500</v>
      </c>
      <c r="C4" s="11">
        <f>'Production Budget'!C9</f>
        <v>125500</v>
      </c>
      <c r="D4" s="11">
        <f>'Production Budget'!D9</f>
        <v>130500</v>
      </c>
      <c r="E4" s="11">
        <f>'Production Budget'!E9</f>
        <v>135500</v>
      </c>
      <c r="F4" s="11">
        <f>'Production Budget'!F9</f>
        <v>140500</v>
      </c>
      <c r="G4" s="11">
        <f>'Production Budget'!G9</f>
        <v>146000</v>
      </c>
      <c r="H4" s="11">
        <f>'Production Budget'!H9</f>
        <v>156000</v>
      </c>
      <c r="I4" s="11">
        <f>'Production Budget'!I9</f>
        <v>166500</v>
      </c>
      <c r="J4" s="11">
        <f>'Production Budget'!J9</f>
        <v>179000</v>
      </c>
      <c r="K4" s="11">
        <f>'Production Budget'!K9</f>
        <v>169000</v>
      </c>
      <c r="L4" s="11">
        <f>'Production Budget'!L9</f>
        <v>161500</v>
      </c>
      <c r="M4" s="11">
        <f>'Production Budget'!M9</f>
        <v>157500</v>
      </c>
      <c r="N4" s="11"/>
    </row>
    <row r="5" spans="1:14" x14ac:dyDescent="0.3">
      <c r="A5" s="10" t="s">
        <v>72</v>
      </c>
      <c r="B5" s="17">
        <v>0.38</v>
      </c>
      <c r="C5" s="17">
        <v>0.38</v>
      </c>
      <c r="D5" s="17">
        <v>0.38</v>
      </c>
      <c r="E5" s="17">
        <v>0.38</v>
      </c>
      <c r="F5" s="17">
        <v>0.38</v>
      </c>
      <c r="G5" s="17">
        <v>0.38</v>
      </c>
      <c r="H5" s="17">
        <v>0.38</v>
      </c>
      <c r="I5" s="17">
        <v>0.38</v>
      </c>
      <c r="J5" s="17">
        <v>0.38</v>
      </c>
      <c r="K5" s="17">
        <v>0.38</v>
      </c>
      <c r="L5" s="17">
        <v>0.38</v>
      </c>
      <c r="M5" s="17">
        <v>0.38</v>
      </c>
      <c r="N5" s="11"/>
    </row>
    <row r="6" spans="1:14" x14ac:dyDescent="0.3">
      <c r="A6" s="10" t="s">
        <v>73</v>
      </c>
      <c r="B6" s="11">
        <f>B4*B5</f>
        <v>50350</v>
      </c>
      <c r="C6" s="11">
        <f t="shared" ref="C6:M6" si="0">C4*C5</f>
        <v>47690</v>
      </c>
      <c r="D6" s="11">
        <f t="shared" si="0"/>
        <v>49590</v>
      </c>
      <c r="E6" s="11">
        <f t="shared" si="0"/>
        <v>51490</v>
      </c>
      <c r="F6" s="11">
        <f t="shared" si="0"/>
        <v>53390</v>
      </c>
      <c r="G6" s="11">
        <f t="shared" si="0"/>
        <v>55480</v>
      </c>
      <c r="H6" s="11">
        <f t="shared" si="0"/>
        <v>59280</v>
      </c>
      <c r="I6" s="11">
        <f t="shared" si="0"/>
        <v>63270</v>
      </c>
      <c r="J6" s="11">
        <f t="shared" si="0"/>
        <v>68020</v>
      </c>
      <c r="K6" s="11">
        <f t="shared" si="0"/>
        <v>64220</v>
      </c>
      <c r="L6" s="11">
        <f t="shared" si="0"/>
        <v>61370</v>
      </c>
      <c r="M6" s="11">
        <f t="shared" si="0"/>
        <v>59850</v>
      </c>
      <c r="N6" s="11"/>
    </row>
    <row r="7" spans="1:14" x14ac:dyDescent="0.3">
      <c r="A7" s="10" t="s">
        <v>74</v>
      </c>
      <c r="B7" s="11">
        <f>B6*2%</f>
        <v>1007</v>
      </c>
      <c r="C7" s="11">
        <f t="shared" ref="C7:M7" si="1">C6*2%</f>
        <v>953.80000000000007</v>
      </c>
      <c r="D7" s="11">
        <f t="shared" si="1"/>
        <v>991.80000000000007</v>
      </c>
      <c r="E7" s="11">
        <f t="shared" si="1"/>
        <v>1029.8</v>
      </c>
      <c r="F7" s="11">
        <f t="shared" si="1"/>
        <v>1067.8</v>
      </c>
      <c r="G7" s="11">
        <f t="shared" si="1"/>
        <v>1109.6000000000001</v>
      </c>
      <c r="H7" s="11">
        <f t="shared" si="1"/>
        <v>1185.6000000000001</v>
      </c>
      <c r="I7" s="11">
        <f t="shared" si="1"/>
        <v>1265.4000000000001</v>
      </c>
      <c r="J7" s="11">
        <f t="shared" si="1"/>
        <v>1360.4</v>
      </c>
      <c r="K7" s="11">
        <f t="shared" si="1"/>
        <v>1284.4000000000001</v>
      </c>
      <c r="L7" s="11">
        <f t="shared" si="1"/>
        <v>1227.4000000000001</v>
      </c>
      <c r="M7" s="11">
        <f t="shared" si="1"/>
        <v>1197</v>
      </c>
      <c r="N7" s="11"/>
    </row>
    <row r="8" spans="1:14" x14ac:dyDescent="0.3">
      <c r="A8" s="12" t="s">
        <v>75</v>
      </c>
      <c r="B8" s="11">
        <f>SUM(B6:B7)</f>
        <v>51357</v>
      </c>
      <c r="C8" s="11">
        <f t="shared" ref="C8:M8" si="2">SUM(C6:C7)</f>
        <v>48643.8</v>
      </c>
      <c r="D8" s="11">
        <f t="shared" si="2"/>
        <v>50581.8</v>
      </c>
      <c r="E8" s="11">
        <f t="shared" si="2"/>
        <v>52519.8</v>
      </c>
      <c r="F8" s="11">
        <f t="shared" si="2"/>
        <v>54457.8</v>
      </c>
      <c r="G8" s="11">
        <f t="shared" si="2"/>
        <v>56589.599999999999</v>
      </c>
      <c r="H8" s="11">
        <f t="shared" si="2"/>
        <v>60465.599999999999</v>
      </c>
      <c r="I8" s="11">
        <f t="shared" si="2"/>
        <v>64535.4</v>
      </c>
      <c r="J8" s="11">
        <f t="shared" si="2"/>
        <v>69380.399999999994</v>
      </c>
      <c r="K8" s="11">
        <f t="shared" si="2"/>
        <v>65504.4</v>
      </c>
      <c r="L8" s="11">
        <f t="shared" si="2"/>
        <v>62597.4</v>
      </c>
      <c r="M8" s="11">
        <f t="shared" si="2"/>
        <v>61047</v>
      </c>
      <c r="N8" s="11"/>
    </row>
    <row r="10" spans="1:14" x14ac:dyDescent="0.3">
      <c r="A10" s="25" t="s">
        <v>12</v>
      </c>
      <c r="B10" s="26" t="s">
        <v>55</v>
      </c>
      <c r="C10" s="26" t="s">
        <v>37</v>
      </c>
      <c r="D10" s="26" t="s">
        <v>56</v>
      </c>
      <c r="E10" s="26" t="s">
        <v>57</v>
      </c>
      <c r="F10" s="26" t="s">
        <v>58</v>
      </c>
      <c r="G10" s="26" t="s">
        <v>59</v>
      </c>
      <c r="H10" s="26" t="s">
        <v>60</v>
      </c>
      <c r="I10" s="26" t="s">
        <v>61</v>
      </c>
      <c r="J10" s="26" t="s">
        <v>62</v>
      </c>
      <c r="K10" s="26" t="s">
        <v>63</v>
      </c>
      <c r="L10" s="26" t="s">
        <v>64</v>
      </c>
      <c r="M10" s="26" t="s">
        <v>65</v>
      </c>
      <c r="N10" s="19"/>
    </row>
    <row r="11" spans="1:14" x14ac:dyDescent="0.3">
      <c r="A11" s="20" t="s">
        <v>76</v>
      </c>
      <c r="B11" s="18">
        <f>B8</f>
        <v>51357</v>
      </c>
      <c r="C11" s="18">
        <f t="shared" ref="C11:M11" si="3">C8</f>
        <v>48643.8</v>
      </c>
      <c r="D11" s="18">
        <f t="shared" si="3"/>
        <v>50581.8</v>
      </c>
      <c r="E11" s="18">
        <f t="shared" si="3"/>
        <v>52519.8</v>
      </c>
      <c r="F11" s="18">
        <f t="shared" si="3"/>
        <v>54457.8</v>
      </c>
      <c r="G11" s="18">
        <f t="shared" si="3"/>
        <v>56589.599999999999</v>
      </c>
      <c r="H11" s="18">
        <f t="shared" si="3"/>
        <v>60465.599999999999</v>
      </c>
      <c r="I11" s="18">
        <f t="shared" si="3"/>
        <v>64535.4</v>
      </c>
      <c r="J11" s="18">
        <f t="shared" si="3"/>
        <v>69380.399999999994</v>
      </c>
      <c r="K11" s="18">
        <f t="shared" si="3"/>
        <v>65504.4</v>
      </c>
      <c r="L11" s="18">
        <f t="shared" si="3"/>
        <v>62597.4</v>
      </c>
      <c r="M11" s="18">
        <f t="shared" si="3"/>
        <v>61047</v>
      </c>
      <c r="N11" s="18"/>
    </row>
    <row r="12" spans="1:14" x14ac:dyDescent="0.3">
      <c r="A12" s="20" t="s">
        <v>77</v>
      </c>
      <c r="B12" s="18">
        <f>C11*15%</f>
        <v>7296.5700000000006</v>
      </c>
      <c r="C12" s="18">
        <f t="shared" ref="C12:M12" si="4">D11*15%</f>
        <v>7587.27</v>
      </c>
      <c r="D12" s="18">
        <f t="shared" si="4"/>
        <v>7877.97</v>
      </c>
      <c r="E12" s="18">
        <f t="shared" si="4"/>
        <v>8168.67</v>
      </c>
      <c r="F12" s="18">
        <f t="shared" si="4"/>
        <v>8488.4399999999987</v>
      </c>
      <c r="G12" s="18">
        <f t="shared" si="4"/>
        <v>9069.84</v>
      </c>
      <c r="H12" s="18">
        <f t="shared" si="4"/>
        <v>9680.31</v>
      </c>
      <c r="I12" s="18">
        <f t="shared" si="4"/>
        <v>10407.06</v>
      </c>
      <c r="J12" s="18">
        <f t="shared" si="4"/>
        <v>9825.66</v>
      </c>
      <c r="K12" s="18">
        <f t="shared" si="4"/>
        <v>9389.61</v>
      </c>
      <c r="L12" s="18">
        <f t="shared" si="4"/>
        <v>9157.0499999999993</v>
      </c>
      <c r="M12" s="18">
        <f t="shared" si="4"/>
        <v>0</v>
      </c>
      <c r="N12" s="18"/>
    </row>
    <row r="13" spans="1:14" x14ac:dyDescent="0.3">
      <c r="A13" s="20" t="s">
        <v>78</v>
      </c>
      <c r="B13" s="18">
        <f>SUM(B11:B12)</f>
        <v>58653.57</v>
      </c>
      <c r="C13" s="18">
        <f t="shared" ref="C13:M13" si="5">SUM(C11:C12)</f>
        <v>56231.070000000007</v>
      </c>
      <c r="D13" s="18">
        <f t="shared" si="5"/>
        <v>58459.770000000004</v>
      </c>
      <c r="E13" s="18">
        <f t="shared" si="5"/>
        <v>60688.47</v>
      </c>
      <c r="F13" s="18">
        <f t="shared" si="5"/>
        <v>62946.240000000005</v>
      </c>
      <c r="G13" s="18">
        <f t="shared" si="5"/>
        <v>65659.44</v>
      </c>
      <c r="H13" s="18">
        <f t="shared" si="5"/>
        <v>70145.91</v>
      </c>
      <c r="I13" s="18">
        <f t="shared" si="5"/>
        <v>74942.460000000006</v>
      </c>
      <c r="J13" s="18">
        <f t="shared" si="5"/>
        <v>79206.06</v>
      </c>
      <c r="K13" s="18">
        <f t="shared" si="5"/>
        <v>74894.010000000009</v>
      </c>
      <c r="L13" s="18">
        <f t="shared" si="5"/>
        <v>71754.45</v>
      </c>
      <c r="M13" s="18">
        <f t="shared" si="5"/>
        <v>61047</v>
      </c>
      <c r="N13" s="18"/>
    </row>
    <row r="14" spans="1:14" x14ac:dyDescent="0.3">
      <c r="A14" s="20" t="s">
        <v>79</v>
      </c>
      <c r="B14" s="18">
        <v>8000</v>
      </c>
      <c r="C14" s="18">
        <f>B12</f>
        <v>7296.5700000000006</v>
      </c>
      <c r="D14" s="18">
        <f t="shared" ref="D14:M14" si="6">C12</f>
        <v>7587.27</v>
      </c>
      <c r="E14" s="18">
        <f t="shared" si="6"/>
        <v>7877.97</v>
      </c>
      <c r="F14" s="18">
        <f t="shared" si="6"/>
        <v>8168.67</v>
      </c>
      <c r="G14" s="18">
        <f t="shared" si="6"/>
        <v>8488.4399999999987</v>
      </c>
      <c r="H14" s="18">
        <f t="shared" si="6"/>
        <v>9069.84</v>
      </c>
      <c r="I14" s="18">
        <f t="shared" si="6"/>
        <v>9680.31</v>
      </c>
      <c r="J14" s="18">
        <f t="shared" si="6"/>
        <v>10407.06</v>
      </c>
      <c r="K14" s="18">
        <f t="shared" si="6"/>
        <v>9825.66</v>
      </c>
      <c r="L14" s="18">
        <f t="shared" si="6"/>
        <v>9389.61</v>
      </c>
      <c r="M14" s="18">
        <f t="shared" si="6"/>
        <v>9157.0499999999993</v>
      </c>
      <c r="N14" s="18"/>
    </row>
    <row r="15" spans="1:14" x14ac:dyDescent="0.3">
      <c r="A15" s="21" t="s">
        <v>80</v>
      </c>
      <c r="B15" s="22">
        <f>B13-B14</f>
        <v>50653.57</v>
      </c>
      <c r="C15" s="22">
        <f t="shared" ref="C15:M15" si="7">C13-C14</f>
        <v>48934.500000000007</v>
      </c>
      <c r="D15" s="22">
        <f t="shared" si="7"/>
        <v>50872.5</v>
      </c>
      <c r="E15" s="22">
        <f t="shared" si="7"/>
        <v>52810.5</v>
      </c>
      <c r="F15" s="22">
        <f t="shared" si="7"/>
        <v>54777.570000000007</v>
      </c>
      <c r="G15" s="22">
        <f t="shared" si="7"/>
        <v>57171</v>
      </c>
      <c r="H15" s="22">
        <f t="shared" si="7"/>
        <v>61076.070000000007</v>
      </c>
      <c r="I15" s="22">
        <f t="shared" si="7"/>
        <v>65262.150000000009</v>
      </c>
      <c r="J15" s="22">
        <f t="shared" si="7"/>
        <v>68799</v>
      </c>
      <c r="K15" s="22">
        <f t="shared" si="7"/>
        <v>65068.350000000006</v>
      </c>
      <c r="L15" s="22">
        <f t="shared" si="7"/>
        <v>62364.84</v>
      </c>
      <c r="M15" s="22">
        <f t="shared" si="7"/>
        <v>51889.95</v>
      </c>
      <c r="N15" s="18"/>
    </row>
    <row r="16" spans="1:14" ht="15" thickBot="1" x14ac:dyDescent="0.35">
      <c r="A16" s="23" t="s">
        <v>81</v>
      </c>
      <c r="B16" s="24">
        <f>B15/1000</f>
        <v>50.653570000000002</v>
      </c>
      <c r="C16" s="24">
        <f t="shared" ref="C16:M16" si="8">C15/1000</f>
        <v>48.934500000000007</v>
      </c>
      <c r="D16" s="24">
        <f t="shared" si="8"/>
        <v>50.872500000000002</v>
      </c>
      <c r="E16" s="24">
        <f t="shared" si="8"/>
        <v>52.810499999999998</v>
      </c>
      <c r="F16" s="24">
        <f t="shared" si="8"/>
        <v>54.777570000000004</v>
      </c>
      <c r="G16" s="24">
        <f t="shared" si="8"/>
        <v>57.170999999999999</v>
      </c>
      <c r="H16" s="24">
        <f t="shared" si="8"/>
        <v>61.076070000000009</v>
      </c>
      <c r="I16" s="24">
        <f t="shared" si="8"/>
        <v>65.262150000000005</v>
      </c>
      <c r="J16" s="24">
        <f t="shared" si="8"/>
        <v>68.799000000000007</v>
      </c>
      <c r="K16" s="24">
        <f t="shared" si="8"/>
        <v>65.068350000000009</v>
      </c>
      <c r="L16" s="24">
        <f t="shared" si="8"/>
        <v>62.364839999999994</v>
      </c>
      <c r="M16" s="24">
        <f t="shared" si="8"/>
        <v>51.889949999999999</v>
      </c>
    </row>
    <row r="18" spans="1:13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</row>
    <row r="19" spans="1:13" x14ac:dyDescent="0.3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</row>
    <row r="20" spans="1:13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</row>
    <row r="21" spans="1:13" x14ac:dyDescent="0.3">
      <c r="A21" s="110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</row>
    <row r="22" spans="1:13" x14ac:dyDescent="0.3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</row>
  </sheetData>
  <mergeCells count="1">
    <mergeCell ref="A1:M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C1C8-685D-4D9E-BDB7-DCDB69C5160B}">
  <dimension ref="A1:N35"/>
  <sheetViews>
    <sheetView showGridLines="0" workbookViewId="0">
      <selection activeCell="R14" sqref="R14"/>
    </sheetView>
  </sheetViews>
  <sheetFormatPr defaultColWidth="6.88671875" defaultRowHeight="14.4" x14ac:dyDescent="0.3"/>
  <cols>
    <col min="1" max="1" width="28.44140625" bestFit="1" customWidth="1"/>
    <col min="2" max="2" width="8" bestFit="1" customWidth="1"/>
    <col min="3" max="3" width="6.6640625" bestFit="1" customWidth="1"/>
    <col min="4" max="5" width="7" bestFit="1" customWidth="1"/>
    <col min="6" max="6" width="10.77734375" bestFit="1" customWidth="1"/>
  </cols>
  <sheetData>
    <row r="1" spans="1:14" ht="21" x14ac:dyDescent="0.4">
      <c r="A1" s="133" t="s">
        <v>202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3" spans="1:14" ht="14.4" customHeight="1" x14ac:dyDescent="0.3">
      <c r="A3" s="136" t="s">
        <v>201</v>
      </c>
      <c r="B3" s="136"/>
      <c r="C3" s="136"/>
      <c r="D3" s="136"/>
      <c r="E3" s="136"/>
      <c r="F3" s="48"/>
    </row>
    <row r="4" spans="1:14" ht="14.4" customHeight="1" x14ac:dyDescent="0.3">
      <c r="A4" s="136"/>
      <c r="B4" s="136"/>
      <c r="C4" s="136"/>
      <c r="D4" s="136"/>
      <c r="E4" s="136"/>
    </row>
    <row r="5" spans="1:14" ht="15" thickBot="1" x14ac:dyDescent="0.35"/>
    <row r="6" spans="1:14" x14ac:dyDescent="0.3">
      <c r="A6" s="137" t="s">
        <v>107</v>
      </c>
      <c r="B6" s="138"/>
    </row>
    <row r="7" spans="1:14" x14ac:dyDescent="0.3">
      <c r="A7" s="32" t="s">
        <v>94</v>
      </c>
      <c r="B7" s="37">
        <v>5.3394980184940592E-4</v>
      </c>
    </row>
    <row r="8" spans="1:14" x14ac:dyDescent="0.3">
      <c r="A8" s="32" t="s">
        <v>95</v>
      </c>
      <c r="B8" s="37">
        <v>4.2849093833124074E-4</v>
      </c>
    </row>
    <row r="9" spans="1:14" x14ac:dyDescent="0.3">
      <c r="A9" s="32" t="s">
        <v>96</v>
      </c>
      <c r="B9" s="37">
        <v>0</v>
      </c>
    </row>
    <row r="10" spans="1:14" x14ac:dyDescent="0.3">
      <c r="A10" s="32" t="s">
        <v>97</v>
      </c>
      <c r="B10" s="37">
        <v>-2.5000000000000001E-3</v>
      </c>
    </row>
    <row r="11" spans="1:14" x14ac:dyDescent="0.3">
      <c r="A11" s="32" t="s">
        <v>98</v>
      </c>
      <c r="B11" s="37">
        <v>1.1789342414384878E-2</v>
      </c>
    </row>
    <row r="12" spans="1:14" x14ac:dyDescent="0.3">
      <c r="A12" s="32" t="s">
        <v>108</v>
      </c>
      <c r="B12" s="28">
        <f>B11*SQRT(252)</f>
        <v>0.18715000889668906</v>
      </c>
    </row>
    <row r="13" spans="1:14" x14ac:dyDescent="0.3">
      <c r="A13" s="32" t="s">
        <v>99</v>
      </c>
      <c r="B13" s="37">
        <v>1.3898859456361429E-4</v>
      </c>
    </row>
    <row r="14" spans="1:14" x14ac:dyDescent="0.3">
      <c r="A14" s="32" t="s">
        <v>100</v>
      </c>
      <c r="B14" s="37">
        <v>1.3545017910778703</v>
      </c>
    </row>
    <row r="15" spans="1:14" x14ac:dyDescent="0.3">
      <c r="A15" s="32" t="s">
        <v>101</v>
      </c>
      <c r="B15" s="37">
        <v>0.27185201777873397</v>
      </c>
    </row>
    <row r="16" spans="1:14" x14ac:dyDescent="0.3">
      <c r="A16" s="32" t="s">
        <v>102</v>
      </c>
      <c r="B16" s="37">
        <v>0.1036</v>
      </c>
    </row>
    <row r="17" spans="1:6" x14ac:dyDescent="0.3">
      <c r="A17" s="32" t="s">
        <v>103</v>
      </c>
      <c r="B17" s="37">
        <v>-5.0700000000000002E-2</v>
      </c>
    </row>
    <row r="18" spans="1:6" x14ac:dyDescent="0.3">
      <c r="A18" s="32" t="s">
        <v>104</v>
      </c>
      <c r="B18" s="37">
        <v>5.2900000000000003E-2</v>
      </c>
    </row>
    <row r="19" spans="1:6" x14ac:dyDescent="0.3">
      <c r="A19" s="32" t="s">
        <v>105</v>
      </c>
      <c r="B19" s="37">
        <v>0.40420000000000028</v>
      </c>
    </row>
    <row r="20" spans="1:6" ht="15" thickBot="1" x14ac:dyDescent="0.35">
      <c r="A20" s="38" t="s">
        <v>106</v>
      </c>
      <c r="B20" s="36">
        <v>757</v>
      </c>
    </row>
    <row r="22" spans="1:6" x14ac:dyDescent="0.3">
      <c r="A22" s="33" t="s">
        <v>33</v>
      </c>
      <c r="B22" s="33" t="s">
        <v>89</v>
      </c>
      <c r="C22" s="33" t="s">
        <v>90</v>
      </c>
      <c r="D22" s="33" t="s">
        <v>91</v>
      </c>
      <c r="E22" s="33" t="s">
        <v>92</v>
      </c>
      <c r="F22" s="33" t="s">
        <v>88</v>
      </c>
    </row>
    <row r="23" spans="1:6" x14ac:dyDescent="0.3">
      <c r="A23" t="s">
        <v>63</v>
      </c>
      <c r="B23" s="28"/>
      <c r="C23" s="28">
        <v>-5.5788590604026848E-2</v>
      </c>
      <c r="D23" s="28">
        <v>8.7314017227878554E-3</v>
      </c>
      <c r="E23" s="28">
        <v>1.105884707766216E-2</v>
      </c>
      <c r="F23" s="28">
        <v>-3.5998341803576833E-2</v>
      </c>
    </row>
    <row r="24" spans="1:6" x14ac:dyDescent="0.3">
      <c r="A24" t="s">
        <v>64</v>
      </c>
      <c r="B24" s="28"/>
      <c r="C24" s="28">
        <v>-1.1550422034651266E-2</v>
      </c>
      <c r="D24" s="28">
        <v>1.1799868027791652E-2</v>
      </c>
      <c r="E24" s="28">
        <v>6.5132392972036657E-2</v>
      </c>
      <c r="F24" s="28">
        <v>6.5381838965177047E-2</v>
      </c>
    </row>
    <row r="25" spans="1:6" x14ac:dyDescent="0.3">
      <c r="A25" t="s">
        <v>65</v>
      </c>
      <c r="B25" s="28"/>
      <c r="C25" s="28">
        <v>6.5168539325842698E-2</v>
      </c>
      <c r="D25" s="28">
        <v>-2.6048260252426302E-2</v>
      </c>
      <c r="E25" s="28">
        <v>6.6276350231556716E-2</v>
      </c>
      <c r="F25" s="28">
        <v>0.10539662930497311</v>
      </c>
    </row>
    <row r="26" spans="1:6" x14ac:dyDescent="0.3">
      <c r="A26" t="s">
        <v>55</v>
      </c>
      <c r="B26" s="28">
        <v>-2.8799999999999999E-2</v>
      </c>
      <c r="C26" s="28">
        <v>8.5232067510548529E-2</v>
      </c>
      <c r="D26" s="28">
        <v>-5.4848747439735307E-2</v>
      </c>
      <c r="E26" s="28"/>
      <c r="F26" s="28">
        <v>1.5833200708132225E-3</v>
      </c>
    </row>
    <row r="27" spans="1:6" x14ac:dyDescent="0.3">
      <c r="A27" t="s">
        <v>37</v>
      </c>
      <c r="B27" s="28">
        <v>-4.2372881355932202E-2</v>
      </c>
      <c r="C27" s="28">
        <v>3.8880248833592534E-2</v>
      </c>
      <c r="D27" s="28">
        <v>1.3773415848804869E-2</v>
      </c>
      <c r="E27" s="28"/>
      <c r="F27" s="28">
        <v>1.0280783326465202E-2</v>
      </c>
    </row>
    <row r="28" spans="1:6" x14ac:dyDescent="0.3">
      <c r="A28" t="s">
        <v>56</v>
      </c>
      <c r="B28" s="28">
        <v>-4.6460176991150445E-2</v>
      </c>
      <c r="C28" s="28">
        <v>-5.1272455089820361E-2</v>
      </c>
      <c r="D28" s="28">
        <v>7.1733947216969504E-2</v>
      </c>
      <c r="E28" s="28"/>
      <c r="F28" s="28">
        <v>-2.5998684864001295E-2</v>
      </c>
    </row>
    <row r="29" spans="1:6" x14ac:dyDescent="0.3">
      <c r="A29" t="s">
        <v>57</v>
      </c>
      <c r="B29" s="28">
        <v>4.9651972157772624E-2</v>
      </c>
      <c r="C29" s="28">
        <v>-8.5996055226824464E-2</v>
      </c>
      <c r="D29" s="28">
        <v>-1.3693375781519627E-2</v>
      </c>
      <c r="E29" s="28"/>
      <c r="F29" s="28">
        <v>-5.0037458850571467E-2</v>
      </c>
    </row>
    <row r="30" spans="1:6" x14ac:dyDescent="0.3">
      <c r="A30" t="s">
        <v>58</v>
      </c>
      <c r="B30" s="28">
        <v>-1.1494252873563218E-2</v>
      </c>
      <c r="C30" s="28">
        <v>5.9128182995252479E-2</v>
      </c>
      <c r="D30" s="28">
        <v>1.532239247102749E-2</v>
      </c>
      <c r="E30" s="28"/>
      <c r="F30" s="28">
        <v>6.2956322592716746E-2</v>
      </c>
    </row>
    <row r="31" spans="1:6" x14ac:dyDescent="0.3">
      <c r="A31" t="s">
        <v>59</v>
      </c>
      <c r="B31" s="28">
        <v>3.8908765652951698E-2</v>
      </c>
      <c r="C31" s="28">
        <v>5.9494702526487364E-2</v>
      </c>
      <c r="D31" s="28">
        <v>3.096751953424234E-2</v>
      </c>
      <c r="E31" s="28"/>
      <c r="F31" s="28">
        <v>0.12937098771368141</v>
      </c>
    </row>
    <row r="32" spans="1:6" x14ac:dyDescent="0.3">
      <c r="A32" t="s">
        <v>60</v>
      </c>
      <c r="B32" s="28">
        <v>-3.2716315109771847E-2</v>
      </c>
      <c r="C32" s="28">
        <v>1.0384615384615384E-2</v>
      </c>
      <c r="D32" s="28">
        <v>8.0043839280738507E-2</v>
      </c>
      <c r="E32" s="28"/>
      <c r="F32" s="28">
        <v>5.7712139555582048E-2</v>
      </c>
    </row>
    <row r="33" spans="1:6" x14ac:dyDescent="0.3">
      <c r="A33" t="s">
        <v>61</v>
      </c>
      <c r="B33" s="28">
        <v>-2.67022696929239E-2</v>
      </c>
      <c r="C33" s="28">
        <v>-9.8972211648267992E-3</v>
      </c>
      <c r="D33" s="28">
        <v>-9.9067799525299188E-3</v>
      </c>
      <c r="E33" s="28"/>
      <c r="F33" s="28">
        <v>-4.6506270810280623E-2</v>
      </c>
    </row>
    <row r="34" spans="1:6" x14ac:dyDescent="0.3">
      <c r="A34" t="s">
        <v>62</v>
      </c>
      <c r="B34" s="28">
        <v>9.0077732053040691E-2</v>
      </c>
      <c r="C34" s="28">
        <v>-1.8069973087274125E-2</v>
      </c>
      <c r="D34" s="28">
        <v>4.1448076989889768E-2</v>
      </c>
      <c r="E34" s="28"/>
      <c r="F34" s="28">
        <v>0.11345583595565634</v>
      </c>
    </row>
    <row r="35" spans="1:6" ht="15" thickBot="1" x14ac:dyDescent="0.35">
      <c r="A35" s="34" t="s">
        <v>88</v>
      </c>
      <c r="B35" s="35">
        <v>-9.907426159576585E-3</v>
      </c>
      <c r="C35" s="35">
        <v>8.5713639368915115E-2</v>
      </c>
      <c r="D35" s="35">
        <v>0.16932329766604082</v>
      </c>
      <c r="E35" s="35">
        <v>0.14246759028125555</v>
      </c>
      <c r="F35" s="35">
        <v>0.38759710115663487</v>
      </c>
    </row>
  </sheetData>
  <mergeCells count="3">
    <mergeCell ref="A3:E4"/>
    <mergeCell ref="A6:B6"/>
    <mergeCell ref="A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CEC7-C118-44BB-B7B9-F1EC1B615FF7}">
  <dimension ref="A1:Q42"/>
  <sheetViews>
    <sheetView showGridLines="0" workbookViewId="0">
      <selection sqref="A1:H1"/>
    </sheetView>
  </sheetViews>
  <sheetFormatPr defaultRowHeight="14.4" x14ac:dyDescent="0.3"/>
  <cols>
    <col min="5" max="5" width="11" bestFit="1" customWidth="1"/>
    <col min="8" max="8" width="12" bestFit="1" customWidth="1"/>
    <col min="10" max="10" width="17.21875" style="56" bestFit="1" customWidth="1"/>
    <col min="11" max="11" width="9" style="56" bestFit="1" customWidth="1"/>
    <col min="12" max="12" width="10.5546875" style="56" bestFit="1" customWidth="1"/>
    <col min="13" max="13" width="10" style="56" bestFit="1" customWidth="1"/>
  </cols>
  <sheetData>
    <row r="1" spans="1:17" ht="21" x14ac:dyDescent="0.4">
      <c r="A1" s="133" t="s">
        <v>197</v>
      </c>
      <c r="B1" s="133"/>
      <c r="C1" s="133"/>
      <c r="D1" s="133"/>
      <c r="E1" s="133"/>
      <c r="F1" s="133"/>
      <c r="G1" s="133"/>
      <c r="H1" s="133"/>
    </row>
    <row r="5" spans="1:17" x14ac:dyDescent="0.3">
      <c r="A5" s="142" t="s">
        <v>112</v>
      </c>
      <c r="B5" s="142"/>
      <c r="C5" s="142"/>
      <c r="D5" s="142"/>
      <c r="E5" s="142"/>
      <c r="F5" s="142"/>
      <c r="G5" s="142"/>
      <c r="H5" s="142"/>
      <c r="N5" s="141" t="s">
        <v>111</v>
      </c>
      <c r="O5" s="141"/>
      <c r="P5" s="141"/>
      <c r="Q5" s="141"/>
    </row>
    <row r="6" spans="1:17" x14ac:dyDescent="0.3">
      <c r="A6" s="145" t="s">
        <v>109</v>
      </c>
      <c r="B6" s="139" t="s">
        <v>33</v>
      </c>
      <c r="C6" s="143" t="s">
        <v>119</v>
      </c>
      <c r="D6" s="144"/>
      <c r="E6" s="143" t="s">
        <v>120</v>
      </c>
      <c r="F6" s="144"/>
      <c r="G6" s="143" t="s">
        <v>121</v>
      </c>
      <c r="H6" s="144"/>
      <c r="J6" s="59"/>
      <c r="K6" s="59"/>
      <c r="L6" s="59"/>
      <c r="N6" s="49" t="s">
        <v>109</v>
      </c>
      <c r="O6" s="49" t="s">
        <v>33</v>
      </c>
      <c r="P6" s="49" t="s">
        <v>110</v>
      </c>
      <c r="Q6" s="50" t="s">
        <v>85</v>
      </c>
    </row>
    <row r="7" spans="1:17" x14ac:dyDescent="0.3">
      <c r="A7" s="146"/>
      <c r="B7" s="140"/>
      <c r="C7" s="66" t="s">
        <v>84</v>
      </c>
      <c r="D7" s="67" t="s">
        <v>85</v>
      </c>
      <c r="E7" s="66" t="s">
        <v>84</v>
      </c>
      <c r="F7" s="67" t="s">
        <v>85</v>
      </c>
      <c r="G7" s="66" t="s">
        <v>84</v>
      </c>
      <c r="H7" s="67" t="s">
        <v>85</v>
      </c>
      <c r="J7" s="57"/>
      <c r="K7" s="58"/>
      <c r="N7" s="55">
        <v>1</v>
      </c>
      <c r="O7" s="54">
        <v>45017</v>
      </c>
      <c r="P7" s="51">
        <v>2360</v>
      </c>
      <c r="Q7" s="52">
        <v>-2.8799999999999999E-2</v>
      </c>
    </row>
    <row r="8" spans="1:17" x14ac:dyDescent="0.3">
      <c r="A8" s="72">
        <v>37</v>
      </c>
      <c r="B8" s="74">
        <v>46113</v>
      </c>
      <c r="C8" s="68">
        <f>FORECAST(A8,P7:P42,N7:N42)</f>
        <v>2984.3728571428574</v>
      </c>
      <c r="D8" s="69">
        <f>(C8-P42)/P42</f>
        <v>-0.13297903688362991</v>
      </c>
      <c r="E8" s="68">
        <f>(P40+P41+P42)/3</f>
        <v>3233.6666666666665</v>
      </c>
      <c r="F8" s="69">
        <f>(E8-P42)/P42</f>
        <v>-6.0554119093963972E-2</v>
      </c>
      <c r="G8" s="72">
        <v>3025.0928571428567</v>
      </c>
      <c r="H8" s="69">
        <f>(G8-P42)/P42</f>
        <v>-0.12114904937600396</v>
      </c>
      <c r="J8" s="62" t="s">
        <v>113</v>
      </c>
      <c r="K8" s="63">
        <f>P42</f>
        <v>3442.1</v>
      </c>
      <c r="N8" s="55">
        <v>2</v>
      </c>
      <c r="O8" s="54">
        <v>45047</v>
      </c>
      <c r="P8" s="53">
        <v>2260</v>
      </c>
      <c r="Q8" s="52">
        <v>-4.2372881355932202E-2</v>
      </c>
    </row>
    <row r="9" spans="1:17" x14ac:dyDescent="0.3">
      <c r="A9" s="72">
        <v>38</v>
      </c>
      <c r="B9" s="74">
        <v>46143</v>
      </c>
      <c r="C9" s="68">
        <f>FORECAST(A9,P8:P42,N8:N42)</f>
        <v>3023.1600000000003</v>
      </c>
      <c r="D9" s="69">
        <f t="shared" ref="D9:D19" si="0">(C9-C8)/C8</f>
        <v>1.2996748299834262E-2</v>
      </c>
      <c r="E9" s="68">
        <f>(P41+P42+E8)/3</f>
        <v>3301.3055555555552</v>
      </c>
      <c r="F9" s="69">
        <f t="shared" ref="F9:F19" si="1">(E9-E8)/E8</f>
        <v>2.0917087585472227E-2</v>
      </c>
      <c r="G9" s="72">
        <v>3072.7275510204081</v>
      </c>
      <c r="H9" s="69">
        <f t="shared" ref="H9:H19" si="2">(G9-G8)/G8</f>
        <v>1.5746522876174278E-2</v>
      </c>
      <c r="J9" s="62" t="s">
        <v>114</v>
      </c>
      <c r="K9" s="51">
        <f>_xlfn.STDEV.P(P7:P42)</f>
        <v>291.93819016188831</v>
      </c>
      <c r="L9" s="59"/>
      <c r="M9" s="59"/>
      <c r="N9" s="55">
        <v>3</v>
      </c>
      <c r="O9" s="54">
        <v>45078</v>
      </c>
      <c r="P9" s="51">
        <v>2155</v>
      </c>
      <c r="Q9" s="52">
        <v>-4.6460176991150445E-2</v>
      </c>
    </row>
    <row r="10" spans="1:17" x14ac:dyDescent="0.3">
      <c r="A10" s="72">
        <v>39</v>
      </c>
      <c r="B10" s="74">
        <v>46174</v>
      </c>
      <c r="C10" s="68">
        <f>FORECAST(A10,P9:P42,N9:N42)</f>
        <v>3057.4861879297173</v>
      </c>
      <c r="D10" s="69">
        <f t="shared" si="0"/>
        <v>1.1354406624100933E-2</v>
      </c>
      <c r="E10" s="68">
        <f>(P42+E8+E9)/3</f>
        <v>3325.6907407407402</v>
      </c>
      <c r="F10" s="69">
        <f t="shared" si="1"/>
        <v>7.3865277766090977E-3</v>
      </c>
      <c r="G10" s="72">
        <v>3096.3886297376093</v>
      </c>
      <c r="H10" s="69">
        <f t="shared" si="2"/>
        <v>7.7003503643997776E-3</v>
      </c>
      <c r="M10" s="60"/>
      <c r="N10" s="55">
        <v>4</v>
      </c>
      <c r="O10" s="54">
        <v>45108</v>
      </c>
      <c r="P10" s="53">
        <v>2262</v>
      </c>
      <c r="Q10" s="52">
        <v>4.9651972157772624E-2</v>
      </c>
    </row>
    <row r="11" spans="1:17" x14ac:dyDescent="0.3">
      <c r="A11" s="72">
        <v>40</v>
      </c>
      <c r="B11" s="74">
        <v>46204</v>
      </c>
      <c r="C11" s="68">
        <f>FORECAST(A11,P10:P42,N10:N42)</f>
        <v>3084.0203654188958</v>
      </c>
      <c r="D11" s="69">
        <f t="shared" si="0"/>
        <v>8.6784292252667043E-3</v>
      </c>
      <c r="E11" s="68">
        <f t="shared" ref="E11:E19" si="3">(E8+E9+E10)/3</f>
        <v>3286.8876543209876</v>
      </c>
      <c r="F11" s="69">
        <f t="shared" si="1"/>
        <v>-1.1667677317196938E-2</v>
      </c>
      <c r="G11" s="72">
        <v>3127.5441482715537</v>
      </c>
      <c r="H11" s="69">
        <f t="shared" si="2"/>
        <v>1.0061888948540838E-2</v>
      </c>
      <c r="J11" s="62" t="s">
        <v>115</v>
      </c>
      <c r="K11" s="64">
        <f>K8+K9</f>
        <v>3734.0381901618885</v>
      </c>
      <c r="L11" s="65">
        <f>(K11-$K$8)/$K$8</f>
        <v>8.4813976979718361E-2</v>
      </c>
      <c r="M11" s="61"/>
      <c r="N11" s="55">
        <v>5</v>
      </c>
      <c r="O11" s="54">
        <v>45139</v>
      </c>
      <c r="P11" s="51">
        <v>2236</v>
      </c>
      <c r="Q11" s="52">
        <v>-1.1494252873563218E-2</v>
      </c>
    </row>
    <row r="12" spans="1:17" x14ac:dyDescent="0.3">
      <c r="A12" s="72">
        <v>41</v>
      </c>
      <c r="B12" s="74">
        <v>46235</v>
      </c>
      <c r="C12" s="68">
        <f>FORECAST(A12,P11:P42,N11:N42)</f>
        <v>3118.4662206744879</v>
      </c>
      <c r="D12" s="69">
        <f t="shared" si="0"/>
        <v>1.1169140010174137E-2</v>
      </c>
      <c r="E12" s="68">
        <f t="shared" si="3"/>
        <v>3304.6279835390942</v>
      </c>
      <c r="F12" s="69">
        <f t="shared" si="1"/>
        <v>5.3973031888646696E-3</v>
      </c>
      <c r="G12" s="72">
        <v>3146.1075980246324</v>
      </c>
      <c r="H12" s="69">
        <f t="shared" si="2"/>
        <v>5.935471690571595E-3</v>
      </c>
      <c r="J12" s="62" t="s">
        <v>116</v>
      </c>
      <c r="K12" s="64">
        <f>K8-K9</f>
        <v>3150.1618098381114</v>
      </c>
      <c r="L12" s="65">
        <f>(K12-$K$8)/$K$8</f>
        <v>-8.4813976979718361E-2</v>
      </c>
      <c r="M12" s="61"/>
      <c r="N12" s="55">
        <v>6</v>
      </c>
      <c r="O12" s="54">
        <v>45170</v>
      </c>
      <c r="P12" s="53">
        <v>2323</v>
      </c>
      <c r="Q12" s="52">
        <v>3.8908765652951698E-2</v>
      </c>
    </row>
    <row r="13" spans="1:17" x14ac:dyDescent="0.3">
      <c r="A13" s="72">
        <v>42</v>
      </c>
      <c r="B13" s="74">
        <v>46266</v>
      </c>
      <c r="C13" s="68">
        <f>FORECAST(A13,P12:P42,N12:N42)</f>
        <v>3150.430967741936</v>
      </c>
      <c r="D13" s="69">
        <f t="shared" si="0"/>
        <v>1.0250150171751585E-2</v>
      </c>
      <c r="E13" s="68">
        <f t="shared" si="3"/>
        <v>3305.7354595336074</v>
      </c>
      <c r="F13" s="69">
        <f t="shared" si="1"/>
        <v>3.3512879514114007E-4</v>
      </c>
      <c r="G13" s="72">
        <v>3162.587254885294</v>
      </c>
      <c r="H13" s="69">
        <f t="shared" si="2"/>
        <v>5.238109742657507E-3</v>
      </c>
      <c r="J13" s="62" t="s">
        <v>117</v>
      </c>
      <c r="K13" s="64">
        <f>K8+2*K9</f>
        <v>4025.9763803237765</v>
      </c>
      <c r="L13" s="65">
        <f>(K13-$K$8)/$K$8</f>
        <v>0.16962795395943658</v>
      </c>
      <c r="M13" s="61"/>
      <c r="N13" s="55">
        <v>7</v>
      </c>
      <c r="O13" s="54">
        <v>45200</v>
      </c>
      <c r="P13" s="51">
        <v>2247</v>
      </c>
      <c r="Q13" s="52">
        <v>-3.2716315109771847E-2</v>
      </c>
    </row>
    <row r="14" spans="1:17" x14ac:dyDescent="0.3">
      <c r="A14" s="72">
        <v>43</v>
      </c>
      <c r="B14" s="74">
        <v>46296</v>
      </c>
      <c r="C14" s="68">
        <f>FORECAST(A14,P13:P42,N13:N42)</f>
        <v>3191.2736151279205</v>
      </c>
      <c r="D14" s="69">
        <f t="shared" si="0"/>
        <v>1.2964146113399324E-2</v>
      </c>
      <c r="E14" s="68">
        <f t="shared" si="3"/>
        <v>3299.0836991312299</v>
      </c>
      <c r="F14" s="69">
        <f t="shared" si="1"/>
        <v>-2.0121877518039346E-3</v>
      </c>
      <c r="G14" s="72">
        <v>3153.2211484403356</v>
      </c>
      <c r="H14" s="69">
        <f t="shared" si="2"/>
        <v>-2.9615329760437265E-3</v>
      </c>
      <c r="J14" s="62" t="s">
        <v>118</v>
      </c>
      <c r="K14" s="64">
        <f>K8-2*K9</f>
        <v>2858.2236196762233</v>
      </c>
      <c r="L14" s="65">
        <f>(K14-$K$8)/$K$8</f>
        <v>-0.16962795395943658</v>
      </c>
      <c r="M14" s="61"/>
      <c r="N14" s="55">
        <v>8</v>
      </c>
      <c r="O14" s="54">
        <v>45231</v>
      </c>
      <c r="P14" s="53">
        <v>2187</v>
      </c>
      <c r="Q14" s="52">
        <v>-2.67022696929239E-2</v>
      </c>
    </row>
    <row r="15" spans="1:17" x14ac:dyDescent="0.3">
      <c r="A15" s="72">
        <v>44</v>
      </c>
      <c r="B15" s="74">
        <v>46327</v>
      </c>
      <c r="C15" s="68">
        <f>FORECAST(A15,P14:P42,N14:N42)</f>
        <v>3223.6368472906406</v>
      </c>
      <c r="D15" s="69">
        <f t="shared" si="0"/>
        <v>1.0141164959753181E-2</v>
      </c>
      <c r="E15" s="68">
        <f t="shared" si="3"/>
        <v>3303.1490474013103</v>
      </c>
      <c r="F15" s="69">
        <f t="shared" si="1"/>
        <v>1.2322658776893125E-3</v>
      </c>
      <c r="G15" s="72">
        <v>3111.9527410746696</v>
      </c>
      <c r="H15" s="69">
        <f t="shared" si="2"/>
        <v>-1.3087698395679741E-2</v>
      </c>
      <c r="J15" s="61"/>
      <c r="K15" s="61"/>
      <c r="L15" s="61"/>
      <c r="M15" s="61"/>
      <c r="N15" s="55">
        <v>9</v>
      </c>
      <c r="O15" s="54">
        <v>45261</v>
      </c>
      <c r="P15" s="51">
        <v>2384</v>
      </c>
      <c r="Q15" s="52">
        <v>9.0077732053040691E-2</v>
      </c>
    </row>
    <row r="16" spans="1:17" x14ac:dyDescent="0.3">
      <c r="A16" s="72">
        <v>45</v>
      </c>
      <c r="B16" s="74">
        <v>46357</v>
      </c>
      <c r="C16" s="68">
        <f>FORECAST(A16,P15:P42,N15:N42)</f>
        <v>3245.1731527093598</v>
      </c>
      <c r="D16" s="69">
        <f t="shared" si="0"/>
        <v>6.680747999521011E-3</v>
      </c>
      <c r="E16" s="68">
        <f t="shared" si="3"/>
        <v>3302.6560686887155</v>
      </c>
      <c r="F16" s="69">
        <f t="shared" si="1"/>
        <v>-1.4924507054340114E-4</v>
      </c>
      <c r="G16" s="72">
        <v>3124.3612959220713</v>
      </c>
      <c r="H16" s="69">
        <f t="shared" si="2"/>
        <v>3.9873853749837641E-3</v>
      </c>
      <c r="J16" s="61"/>
      <c r="K16" s="61"/>
      <c r="L16" s="61"/>
      <c r="M16" s="61"/>
      <c r="N16" s="55">
        <v>10</v>
      </c>
      <c r="O16" s="54">
        <v>45292</v>
      </c>
      <c r="P16" s="53">
        <v>2251</v>
      </c>
      <c r="Q16" s="52">
        <v>-5.5788590604026848E-2</v>
      </c>
    </row>
    <row r="17" spans="1:17" x14ac:dyDescent="0.3">
      <c r="A17" s="72">
        <v>46</v>
      </c>
      <c r="B17" s="74">
        <v>46388</v>
      </c>
      <c r="C17" s="68">
        <f>FORECAST(A17,P16:P42,N16:N42)</f>
        <v>3291.716890516891</v>
      </c>
      <c r="D17" s="69">
        <f t="shared" si="0"/>
        <v>1.4342451270642478E-2</v>
      </c>
      <c r="E17" s="68">
        <f t="shared" si="3"/>
        <v>3301.6296050737515</v>
      </c>
      <c r="F17" s="69">
        <f t="shared" si="1"/>
        <v>-3.1079942737471689E-4</v>
      </c>
      <c r="G17" s="72">
        <v>3131.7375451937373</v>
      </c>
      <c r="H17" s="69">
        <f t="shared" si="2"/>
        <v>2.3608822965812222E-3</v>
      </c>
      <c r="J17" s="61"/>
      <c r="K17" s="61"/>
      <c r="L17" s="61"/>
      <c r="M17" s="61"/>
      <c r="N17" s="55">
        <v>11</v>
      </c>
      <c r="O17" s="54">
        <v>45323</v>
      </c>
      <c r="P17" s="51">
        <v>2225</v>
      </c>
      <c r="Q17" s="52">
        <v>-1.1550422034651266E-2</v>
      </c>
    </row>
    <row r="18" spans="1:17" x14ac:dyDescent="0.3">
      <c r="A18" s="72">
        <v>47</v>
      </c>
      <c r="B18" s="74">
        <v>46419</v>
      </c>
      <c r="C18" s="68">
        <f>FORECAST(A18,P17:P42,N17:N42)</f>
        <v>3316.167213675214</v>
      </c>
      <c r="D18" s="69">
        <f t="shared" si="0"/>
        <v>7.4278329429733137E-3</v>
      </c>
      <c r="E18" s="68">
        <f t="shared" si="3"/>
        <v>3302.4782403879258</v>
      </c>
      <c r="F18" s="69">
        <f t="shared" si="1"/>
        <v>2.5703528732301875E-4</v>
      </c>
      <c r="G18" s="72">
        <v>3136.7873902588985</v>
      </c>
      <c r="H18" s="69">
        <f t="shared" si="2"/>
        <v>1.6124739037954123E-3</v>
      </c>
      <c r="J18" s="61"/>
      <c r="K18" s="61"/>
      <c r="L18" s="61"/>
      <c r="M18" s="61"/>
      <c r="N18" s="55">
        <v>12</v>
      </c>
      <c r="O18" s="54">
        <v>45352</v>
      </c>
      <c r="P18" s="53">
        <v>2370</v>
      </c>
      <c r="Q18" s="52">
        <v>6.5168539325842698E-2</v>
      </c>
    </row>
    <row r="19" spans="1:17" x14ac:dyDescent="0.3">
      <c r="A19" s="73">
        <v>48</v>
      </c>
      <c r="B19" s="75">
        <v>46447</v>
      </c>
      <c r="C19" s="70">
        <f>FORECAST(A19,P18:P42,N18:N42)</f>
        <v>3328.425538461539</v>
      </c>
      <c r="D19" s="71">
        <f t="shared" si="0"/>
        <v>3.6965339792800634E-3</v>
      </c>
      <c r="E19" s="70">
        <f t="shared" si="3"/>
        <v>3302.2546380501312</v>
      </c>
      <c r="F19" s="71">
        <f t="shared" si="1"/>
        <v>-6.7707437117974853E-5</v>
      </c>
      <c r="G19" s="73">
        <v>3138.1078533999489</v>
      </c>
      <c r="H19" s="71">
        <f t="shared" si="2"/>
        <v>4.2096035745074262E-4</v>
      </c>
      <c r="J19" s="61"/>
      <c r="K19" s="61"/>
      <c r="L19" s="61"/>
      <c r="M19" s="61"/>
      <c r="N19" s="55">
        <v>13</v>
      </c>
      <c r="O19" s="54">
        <v>45383</v>
      </c>
      <c r="P19" s="51">
        <v>2572</v>
      </c>
      <c r="Q19" s="52">
        <v>8.5232067510548529E-2</v>
      </c>
    </row>
    <row r="20" spans="1:17" x14ac:dyDescent="0.3">
      <c r="N20" s="55">
        <v>14</v>
      </c>
      <c r="O20" s="54">
        <v>45413</v>
      </c>
      <c r="P20" s="53">
        <v>2672</v>
      </c>
      <c r="Q20" s="52">
        <v>3.8880248833592534E-2</v>
      </c>
    </row>
    <row r="21" spans="1:17" x14ac:dyDescent="0.3">
      <c r="N21" s="55">
        <v>15</v>
      </c>
      <c r="O21" s="54">
        <v>45444</v>
      </c>
      <c r="P21" s="51">
        <v>2535</v>
      </c>
      <c r="Q21" s="52">
        <v>-5.1272455089820361E-2</v>
      </c>
    </row>
    <row r="22" spans="1:17" x14ac:dyDescent="0.3">
      <c r="N22" s="55">
        <v>16</v>
      </c>
      <c r="O22" s="54">
        <v>45474</v>
      </c>
      <c r="P22" s="53">
        <v>2317</v>
      </c>
      <c r="Q22" s="52">
        <v>-8.5996055226824464E-2</v>
      </c>
    </row>
    <row r="23" spans="1:17" x14ac:dyDescent="0.3">
      <c r="N23" s="55">
        <v>17</v>
      </c>
      <c r="O23" s="54">
        <v>45505</v>
      </c>
      <c r="P23" s="51">
        <v>2454</v>
      </c>
      <c r="Q23" s="52">
        <v>5.9128182995252479E-2</v>
      </c>
    </row>
    <row r="24" spans="1:17" x14ac:dyDescent="0.3">
      <c r="N24" s="55">
        <v>18</v>
      </c>
      <c r="O24" s="54">
        <v>45536</v>
      </c>
      <c r="P24" s="53">
        <v>2600</v>
      </c>
      <c r="Q24" s="52">
        <v>5.9494702526487364E-2</v>
      </c>
    </row>
    <row r="25" spans="1:17" x14ac:dyDescent="0.3">
      <c r="N25" s="55">
        <v>19</v>
      </c>
      <c r="O25" s="54">
        <v>45566</v>
      </c>
      <c r="P25" s="51">
        <v>2627</v>
      </c>
      <c r="Q25" s="52">
        <v>1.0384615384615384E-2</v>
      </c>
    </row>
    <row r="26" spans="1:17" x14ac:dyDescent="0.3">
      <c r="N26" s="55">
        <v>20</v>
      </c>
      <c r="O26" s="54">
        <v>45597</v>
      </c>
      <c r="P26" s="53">
        <v>2601</v>
      </c>
      <c r="Q26" s="52">
        <v>-9.8972211648267992E-3</v>
      </c>
    </row>
    <row r="27" spans="1:17" x14ac:dyDescent="0.3">
      <c r="N27" s="55">
        <v>21</v>
      </c>
      <c r="O27" s="54">
        <v>45627</v>
      </c>
      <c r="P27" s="51">
        <v>2554</v>
      </c>
      <c r="Q27" s="52">
        <v>-1.8069973087274125E-2</v>
      </c>
    </row>
    <row r="28" spans="1:17" x14ac:dyDescent="0.3">
      <c r="N28" s="55">
        <v>22</v>
      </c>
      <c r="O28" s="54">
        <v>45658</v>
      </c>
      <c r="P28" s="53">
        <v>2576.3000000000002</v>
      </c>
      <c r="Q28" s="52">
        <v>8.7314017227878554E-3</v>
      </c>
    </row>
    <row r="29" spans="1:17" x14ac:dyDescent="0.3">
      <c r="N29" s="55">
        <v>23</v>
      </c>
      <c r="O29" s="54">
        <v>45689</v>
      </c>
      <c r="P29" s="51">
        <v>2606.6999999999998</v>
      </c>
      <c r="Q29" s="52">
        <v>1.1799868027791652E-2</v>
      </c>
    </row>
    <row r="30" spans="1:17" x14ac:dyDescent="0.3">
      <c r="N30" s="55">
        <v>24</v>
      </c>
      <c r="O30" s="54">
        <v>45717</v>
      </c>
      <c r="P30" s="53">
        <v>2538.8000000000002</v>
      </c>
      <c r="Q30" s="52">
        <v>-2.6048260252426302E-2</v>
      </c>
    </row>
    <row r="31" spans="1:17" x14ac:dyDescent="0.3">
      <c r="N31" s="55">
        <v>25</v>
      </c>
      <c r="O31" s="54">
        <v>45748</v>
      </c>
      <c r="P31" s="51">
        <v>2399.5500000000002</v>
      </c>
      <c r="Q31" s="52">
        <v>-5.4848747439735307E-2</v>
      </c>
    </row>
    <row r="32" spans="1:17" x14ac:dyDescent="0.3">
      <c r="N32" s="55">
        <v>26</v>
      </c>
      <c r="O32" s="54">
        <v>45778</v>
      </c>
      <c r="P32" s="53">
        <v>2432.6</v>
      </c>
      <c r="Q32" s="52">
        <v>1.3773415848804869E-2</v>
      </c>
    </row>
    <row r="33" spans="14:17" x14ac:dyDescent="0.3">
      <c r="N33" s="55">
        <v>27</v>
      </c>
      <c r="O33" s="54">
        <v>45809</v>
      </c>
      <c r="P33" s="51">
        <v>2607.1</v>
      </c>
      <c r="Q33" s="52">
        <v>7.1733947216969504E-2</v>
      </c>
    </row>
    <row r="34" spans="14:17" x14ac:dyDescent="0.3">
      <c r="N34" s="55">
        <v>28</v>
      </c>
      <c r="O34" s="54">
        <v>45839</v>
      </c>
      <c r="P34" s="53">
        <v>2571.4</v>
      </c>
      <c r="Q34" s="52">
        <v>-1.3693375781519627E-2</v>
      </c>
    </row>
    <row r="35" spans="14:17" x14ac:dyDescent="0.3">
      <c r="N35" s="55">
        <v>29</v>
      </c>
      <c r="O35" s="54">
        <v>45870</v>
      </c>
      <c r="P35" s="51">
        <v>2610.8000000000002</v>
      </c>
      <c r="Q35" s="52">
        <v>1.532239247102749E-2</v>
      </c>
    </row>
    <row r="36" spans="14:17" x14ac:dyDescent="0.3">
      <c r="N36" s="55">
        <v>30</v>
      </c>
      <c r="O36" s="54">
        <v>45901</v>
      </c>
      <c r="P36" s="53">
        <v>2691.65</v>
      </c>
      <c r="Q36" s="52">
        <v>3.096751953424234E-2</v>
      </c>
    </row>
    <row r="37" spans="14:17" x14ac:dyDescent="0.3">
      <c r="N37" s="55">
        <v>31</v>
      </c>
      <c r="O37" s="54">
        <v>45931</v>
      </c>
      <c r="P37" s="51">
        <v>2907.1</v>
      </c>
      <c r="Q37" s="52">
        <v>8.0043839280738507E-2</v>
      </c>
    </row>
    <row r="38" spans="14:17" x14ac:dyDescent="0.3">
      <c r="N38" s="55">
        <v>32</v>
      </c>
      <c r="O38" s="54">
        <v>45962</v>
      </c>
      <c r="P38" s="53">
        <v>2878.3</v>
      </c>
      <c r="Q38" s="52">
        <v>-9.9067799525299188E-3</v>
      </c>
    </row>
    <row r="39" spans="14:17" x14ac:dyDescent="0.3">
      <c r="N39" s="55">
        <v>33</v>
      </c>
      <c r="O39" s="54">
        <v>45992</v>
      </c>
      <c r="P39" s="51">
        <v>2997.6</v>
      </c>
      <c r="Q39" s="52">
        <v>4.1448076989889768E-2</v>
      </c>
    </row>
    <row r="40" spans="14:17" x14ac:dyDescent="0.3">
      <c r="N40" s="55">
        <v>34</v>
      </c>
      <c r="O40" s="54">
        <v>46023</v>
      </c>
      <c r="P40" s="53">
        <v>3030.75</v>
      </c>
      <c r="Q40" s="52">
        <v>1.105884707766216E-2</v>
      </c>
    </row>
    <row r="41" spans="14:17" x14ac:dyDescent="0.3">
      <c r="N41" s="55">
        <v>35</v>
      </c>
      <c r="O41" s="54">
        <v>46054</v>
      </c>
      <c r="P41" s="51">
        <v>3228.15</v>
      </c>
      <c r="Q41" s="52">
        <v>6.5132392972036657E-2</v>
      </c>
    </row>
    <row r="42" spans="14:17" x14ac:dyDescent="0.3">
      <c r="N42" s="55">
        <v>36</v>
      </c>
      <c r="O42" s="54">
        <v>46082</v>
      </c>
      <c r="P42" s="53">
        <v>3442.1</v>
      </c>
      <c r="Q42" s="52">
        <v>6.6276350231556716E-2</v>
      </c>
    </row>
  </sheetData>
  <mergeCells count="8">
    <mergeCell ref="A1:H1"/>
    <mergeCell ref="B6:B7"/>
    <mergeCell ref="N5:Q5"/>
    <mergeCell ref="A5:H5"/>
    <mergeCell ref="C6:D6"/>
    <mergeCell ref="E6:F6"/>
    <mergeCell ref="G6:H6"/>
    <mergeCell ref="A6:A7"/>
  </mergeCells>
  <conditionalFormatting sqref="D8:D19 F8:F19 H8:H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L14 M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:Q4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C8:C19" formulaRange="1"/>
    <ignoredError sqref="E9:E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C05B-3759-4E8B-A3EC-0C7CC6AD8704}">
  <dimension ref="A1:M30"/>
  <sheetViews>
    <sheetView showGridLines="0" topLeftCell="A4" workbookViewId="0">
      <selection activeCell="G21" sqref="G21"/>
    </sheetView>
  </sheetViews>
  <sheetFormatPr defaultRowHeight="14.4" x14ac:dyDescent="0.3"/>
  <cols>
    <col min="1" max="1" width="26.77734375" style="7" bestFit="1" customWidth="1"/>
    <col min="2" max="2" width="12.88671875" style="7" customWidth="1"/>
    <col min="3" max="3" width="12.33203125" style="7" bestFit="1" customWidth="1"/>
    <col min="4" max="8" width="13.5546875" style="7" bestFit="1" customWidth="1"/>
    <col min="9" max="11" width="12.33203125" style="7" bestFit="1" customWidth="1"/>
    <col min="12" max="13" width="13.5546875" style="7" bestFit="1" customWidth="1"/>
    <col min="14" max="16384" width="8.88671875" style="7"/>
  </cols>
  <sheetData>
    <row r="1" spans="1:13" ht="21" x14ac:dyDescent="0.4">
      <c r="A1" s="147" t="s">
        <v>196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x14ac:dyDescent="0.3">
      <c r="A2" s="1"/>
      <c r="B2" s="3"/>
    </row>
    <row r="4" spans="1:13" x14ac:dyDescent="0.3">
      <c r="A4" s="77" t="s">
        <v>12</v>
      </c>
      <c r="B4" s="78">
        <v>46113</v>
      </c>
      <c r="C4" s="78">
        <v>46143</v>
      </c>
      <c r="D4" s="78">
        <v>46174</v>
      </c>
      <c r="E4" s="78">
        <v>46204</v>
      </c>
      <c r="F4" s="78">
        <v>46235</v>
      </c>
      <c r="G4" s="78">
        <v>46266</v>
      </c>
      <c r="H4" s="78">
        <v>46296</v>
      </c>
      <c r="I4" s="78">
        <v>46327</v>
      </c>
      <c r="J4" s="78">
        <v>46357</v>
      </c>
      <c r="K4" s="78">
        <v>46388</v>
      </c>
      <c r="L4" s="78">
        <v>46419</v>
      </c>
      <c r="M4" s="78">
        <v>46447</v>
      </c>
    </row>
    <row r="5" spans="1:13" x14ac:dyDescent="0.3">
      <c r="A5" s="7" t="s">
        <v>81</v>
      </c>
      <c r="B5" s="7">
        <v>50.653570000000002</v>
      </c>
      <c r="C5" s="7">
        <v>48.934500000000007</v>
      </c>
      <c r="D5" s="7">
        <v>50.872500000000002</v>
      </c>
      <c r="E5" s="7">
        <v>52.810499999999998</v>
      </c>
      <c r="F5" s="7">
        <v>54.777570000000004</v>
      </c>
      <c r="G5" s="7">
        <v>57.170999999999999</v>
      </c>
      <c r="H5" s="7">
        <v>61.076070000000009</v>
      </c>
      <c r="I5" s="7">
        <v>65.262150000000005</v>
      </c>
      <c r="J5" s="7">
        <v>68.799000000000007</v>
      </c>
      <c r="K5" s="7">
        <v>65.068350000000009</v>
      </c>
      <c r="L5" s="7">
        <v>62.364839999999994</v>
      </c>
      <c r="M5" s="7">
        <v>51.889949999999999</v>
      </c>
    </row>
    <row r="6" spans="1:13" x14ac:dyDescent="0.3">
      <c r="A6" s="7" t="s">
        <v>122</v>
      </c>
      <c r="B6" s="7">
        <v>25</v>
      </c>
      <c r="C6" s="7">
        <v>25</v>
      </c>
      <c r="D6" s="7">
        <v>25</v>
      </c>
      <c r="E6" s="7">
        <v>25</v>
      </c>
      <c r="F6" s="7">
        <v>25</v>
      </c>
      <c r="G6" s="7">
        <v>25</v>
      </c>
      <c r="H6" s="7">
        <v>25</v>
      </c>
      <c r="I6" s="7">
        <v>25</v>
      </c>
      <c r="J6" s="7">
        <v>25</v>
      </c>
      <c r="K6" s="7">
        <v>25</v>
      </c>
      <c r="L6" s="7">
        <v>25</v>
      </c>
      <c r="M6" s="7">
        <v>25</v>
      </c>
    </row>
    <row r="7" spans="1:13" x14ac:dyDescent="0.3">
      <c r="A7" s="7" t="s">
        <v>123</v>
      </c>
      <c r="B7" s="76">
        <v>1</v>
      </c>
      <c r="C7" s="76">
        <v>1</v>
      </c>
      <c r="D7" s="76">
        <v>1</v>
      </c>
      <c r="E7" s="76">
        <v>1</v>
      </c>
      <c r="F7" s="76">
        <v>1</v>
      </c>
      <c r="G7" s="76">
        <v>1</v>
      </c>
      <c r="H7" s="76">
        <v>1</v>
      </c>
      <c r="I7" s="76">
        <v>1</v>
      </c>
      <c r="J7" s="76">
        <v>1</v>
      </c>
      <c r="K7" s="76">
        <v>1</v>
      </c>
      <c r="L7" s="76">
        <v>1</v>
      </c>
      <c r="M7" s="76">
        <v>1</v>
      </c>
    </row>
    <row r="8" spans="1:13" x14ac:dyDescent="0.3">
      <c r="A8" s="7" t="s">
        <v>124</v>
      </c>
      <c r="B8" s="7">
        <f>B5*B7</f>
        <v>50.653570000000002</v>
      </c>
      <c r="C8" s="7">
        <f t="shared" ref="C8:M8" si="0">C5*C7</f>
        <v>48.934500000000007</v>
      </c>
      <c r="D8" s="7">
        <f t="shared" si="0"/>
        <v>50.872500000000002</v>
      </c>
      <c r="E8" s="7">
        <f t="shared" si="0"/>
        <v>52.810499999999998</v>
      </c>
      <c r="F8" s="7">
        <f t="shared" si="0"/>
        <v>54.777570000000004</v>
      </c>
      <c r="G8" s="7">
        <f t="shared" si="0"/>
        <v>57.170999999999999</v>
      </c>
      <c r="H8" s="7">
        <f t="shared" si="0"/>
        <v>61.076070000000009</v>
      </c>
      <c r="I8" s="7">
        <f t="shared" si="0"/>
        <v>65.262150000000005</v>
      </c>
      <c r="J8" s="7">
        <f t="shared" si="0"/>
        <v>68.799000000000007</v>
      </c>
      <c r="K8" s="7">
        <f t="shared" si="0"/>
        <v>65.068350000000009</v>
      </c>
      <c r="L8" s="7">
        <f t="shared" si="0"/>
        <v>62.364839999999994</v>
      </c>
      <c r="M8" s="7">
        <f t="shared" si="0"/>
        <v>51.889949999999999</v>
      </c>
    </row>
    <row r="9" spans="1:13" x14ac:dyDescent="0.3">
      <c r="A9" s="7" t="s">
        <v>125</v>
      </c>
      <c r="B9" s="7">
        <f>B8/B6</f>
        <v>2.0261428000000001</v>
      </c>
      <c r="C9" s="7">
        <f t="shared" ref="C9:M9" si="1">C8/C6</f>
        <v>1.9573800000000003</v>
      </c>
      <c r="D9" s="7">
        <f t="shared" si="1"/>
        <v>2.0348999999999999</v>
      </c>
      <c r="E9" s="7">
        <f t="shared" si="1"/>
        <v>2.1124199999999997</v>
      </c>
      <c r="F9" s="7">
        <f t="shared" si="1"/>
        <v>2.1911028000000004</v>
      </c>
      <c r="G9" s="7">
        <f t="shared" si="1"/>
        <v>2.2868399999999998</v>
      </c>
      <c r="H9" s="7">
        <f t="shared" si="1"/>
        <v>2.4430428000000002</v>
      </c>
      <c r="I9" s="7">
        <f t="shared" si="1"/>
        <v>2.6104860000000003</v>
      </c>
      <c r="J9" s="7">
        <f t="shared" si="1"/>
        <v>2.7519600000000004</v>
      </c>
      <c r="K9" s="7">
        <f t="shared" si="1"/>
        <v>2.6027340000000003</v>
      </c>
      <c r="L9" s="7">
        <f t="shared" si="1"/>
        <v>2.4945936</v>
      </c>
      <c r="M9" s="7">
        <f t="shared" si="1"/>
        <v>2.0755979999999998</v>
      </c>
    </row>
    <row r="10" spans="1:13" x14ac:dyDescent="0.3">
      <c r="A10" s="7" t="s">
        <v>126</v>
      </c>
      <c r="B10" s="7">
        <f>ROUND(B9,0)</f>
        <v>2</v>
      </c>
      <c r="C10" s="7">
        <f t="shared" ref="C10:M10" si="2">ROUND(C9,0)</f>
        <v>2</v>
      </c>
      <c r="D10" s="7">
        <f t="shared" si="2"/>
        <v>2</v>
      </c>
      <c r="E10" s="7">
        <f t="shared" si="2"/>
        <v>2</v>
      </c>
      <c r="F10" s="7">
        <f t="shared" si="2"/>
        <v>2</v>
      </c>
      <c r="G10" s="7">
        <f t="shared" si="2"/>
        <v>2</v>
      </c>
      <c r="H10" s="7">
        <f t="shared" si="2"/>
        <v>2</v>
      </c>
      <c r="I10" s="7">
        <f t="shared" si="2"/>
        <v>3</v>
      </c>
      <c r="J10" s="7">
        <f t="shared" si="2"/>
        <v>3</v>
      </c>
      <c r="K10" s="7">
        <f t="shared" si="2"/>
        <v>3</v>
      </c>
      <c r="L10" s="7">
        <f t="shared" si="2"/>
        <v>2</v>
      </c>
      <c r="M10" s="7">
        <f t="shared" si="2"/>
        <v>2</v>
      </c>
    </row>
    <row r="11" spans="1:13" x14ac:dyDescent="0.3">
      <c r="A11" s="7" t="s">
        <v>127</v>
      </c>
      <c r="B11" s="7" t="str">
        <f>IF(B10&gt;B9, "Over Hedged","Under Hedged")</f>
        <v>Under Hedged</v>
      </c>
      <c r="C11" s="7" t="str">
        <f t="shared" ref="C11:M11" si="3">IF(C10&gt;C9, "Over Hedged","Under Hedged")</f>
        <v>Over Hedged</v>
      </c>
      <c r="D11" s="7" t="str">
        <f t="shared" si="3"/>
        <v>Under Hedged</v>
      </c>
      <c r="E11" s="7" t="str">
        <f t="shared" si="3"/>
        <v>Under Hedged</v>
      </c>
      <c r="F11" s="7" t="str">
        <f t="shared" si="3"/>
        <v>Under Hedged</v>
      </c>
      <c r="G11" s="7" t="str">
        <f t="shared" si="3"/>
        <v>Under Hedged</v>
      </c>
      <c r="H11" s="7" t="str">
        <f t="shared" si="3"/>
        <v>Under Hedged</v>
      </c>
      <c r="I11" s="7" t="str">
        <f t="shared" si="3"/>
        <v>Over Hedged</v>
      </c>
      <c r="J11" s="7" t="str">
        <f t="shared" si="3"/>
        <v>Over Hedged</v>
      </c>
      <c r="K11" s="7" t="str">
        <f t="shared" si="3"/>
        <v>Over Hedged</v>
      </c>
      <c r="L11" s="7" t="str">
        <f t="shared" si="3"/>
        <v>Under Hedged</v>
      </c>
      <c r="M11" s="7" t="str">
        <f t="shared" si="3"/>
        <v>Under Hedged</v>
      </c>
    </row>
    <row r="12" spans="1:13" x14ac:dyDescent="0.3"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</row>
    <row r="14" spans="1:13" x14ac:dyDescent="0.3">
      <c r="A14" s="114" t="s">
        <v>154</v>
      </c>
      <c r="B14" s="154" t="s">
        <v>155</v>
      </c>
      <c r="C14" s="155"/>
      <c r="D14" s="156"/>
    </row>
    <row r="15" spans="1:13" x14ac:dyDescent="0.3">
      <c r="A15" s="113" t="s">
        <v>156</v>
      </c>
      <c r="B15" s="150" t="s">
        <v>157</v>
      </c>
      <c r="C15" s="150"/>
      <c r="D15" s="150"/>
    </row>
    <row r="16" spans="1:13" x14ac:dyDescent="0.3">
      <c r="A16" s="113" t="s">
        <v>158</v>
      </c>
      <c r="B16" s="150" t="s">
        <v>159</v>
      </c>
      <c r="C16" s="150"/>
      <c r="D16" s="150"/>
    </row>
    <row r="17" spans="1:4" x14ac:dyDescent="0.3">
      <c r="A17" s="113" t="s">
        <v>160</v>
      </c>
      <c r="B17" s="150" t="s">
        <v>161</v>
      </c>
      <c r="C17" s="150"/>
      <c r="D17" s="150"/>
    </row>
    <row r="18" spans="1:4" x14ac:dyDescent="0.3">
      <c r="A18" s="113" t="s">
        <v>152</v>
      </c>
      <c r="B18" s="157" t="s">
        <v>162</v>
      </c>
      <c r="C18" s="157"/>
      <c r="D18" s="157"/>
    </row>
    <row r="19" spans="1:4" x14ac:dyDescent="0.3">
      <c r="A19" s="113" t="s">
        <v>163</v>
      </c>
      <c r="B19" s="150" t="s">
        <v>164</v>
      </c>
      <c r="C19" s="150"/>
      <c r="D19" s="150"/>
    </row>
    <row r="20" spans="1:4" x14ac:dyDescent="0.3">
      <c r="A20" s="113" t="s">
        <v>165</v>
      </c>
      <c r="B20" s="150" t="s">
        <v>166</v>
      </c>
      <c r="C20" s="150"/>
      <c r="D20" s="150"/>
    </row>
    <row r="21" spans="1:4" x14ac:dyDescent="0.3">
      <c r="A21" s="113" t="s">
        <v>167</v>
      </c>
      <c r="B21" s="150" t="s">
        <v>168</v>
      </c>
      <c r="C21" s="150"/>
      <c r="D21" s="150"/>
    </row>
    <row r="22" spans="1:4" x14ac:dyDescent="0.3">
      <c r="A22" s="113" t="s">
        <v>169</v>
      </c>
      <c r="B22" s="150" t="s">
        <v>170</v>
      </c>
      <c r="C22" s="150"/>
      <c r="D22" s="150"/>
    </row>
    <row r="23" spans="1:4" x14ac:dyDescent="0.3">
      <c r="A23" s="113" t="s">
        <v>171</v>
      </c>
      <c r="B23" s="150" t="s">
        <v>172</v>
      </c>
      <c r="C23" s="150"/>
      <c r="D23" s="150"/>
    </row>
    <row r="24" spans="1:4" x14ac:dyDescent="0.3">
      <c r="A24" s="113" t="s">
        <v>173</v>
      </c>
      <c r="B24" s="150" t="s">
        <v>174</v>
      </c>
      <c r="C24" s="150"/>
      <c r="D24" s="150"/>
    </row>
    <row r="25" spans="1:4" x14ac:dyDescent="0.3">
      <c r="A25" s="113" t="s">
        <v>175</v>
      </c>
      <c r="B25" s="150" t="s">
        <v>176</v>
      </c>
      <c r="C25" s="150"/>
      <c r="D25" s="150"/>
    </row>
    <row r="26" spans="1:4" x14ac:dyDescent="0.3">
      <c r="A26" s="113" t="s">
        <v>153</v>
      </c>
      <c r="B26" s="150" t="s">
        <v>177</v>
      </c>
      <c r="C26" s="150"/>
      <c r="D26" s="150"/>
    </row>
    <row r="27" spans="1:4" x14ac:dyDescent="0.3">
      <c r="A27" s="113" t="s">
        <v>178</v>
      </c>
      <c r="B27" s="150" t="s">
        <v>179</v>
      </c>
      <c r="C27" s="150"/>
      <c r="D27" s="150"/>
    </row>
    <row r="28" spans="1:4" x14ac:dyDescent="0.3">
      <c r="A28" s="118" t="s">
        <v>180</v>
      </c>
      <c r="B28" s="151" t="s">
        <v>181</v>
      </c>
      <c r="C28" s="151"/>
      <c r="D28" s="151"/>
    </row>
    <row r="29" spans="1:4" x14ac:dyDescent="0.3">
      <c r="A29" s="148" t="s">
        <v>182</v>
      </c>
      <c r="B29" s="117" t="s">
        <v>183</v>
      </c>
      <c r="C29" s="115"/>
      <c r="D29" s="116"/>
    </row>
    <row r="30" spans="1:4" x14ac:dyDescent="0.3">
      <c r="A30" s="149"/>
      <c r="B30" s="152" t="s">
        <v>184</v>
      </c>
      <c r="C30" s="152"/>
      <c r="D30" s="153"/>
    </row>
  </sheetData>
  <mergeCells count="18">
    <mergeCell ref="B18:D18"/>
    <mergeCell ref="B19:D19"/>
    <mergeCell ref="A1:M1"/>
    <mergeCell ref="A29:A30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30:D30"/>
    <mergeCell ref="B14:D14"/>
    <mergeCell ref="B15:D15"/>
    <mergeCell ref="B16:D16"/>
    <mergeCell ref="B17:D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02C1-BE3B-4BFD-A64A-2EFD7CF1579D}">
  <dimension ref="A1:O26"/>
  <sheetViews>
    <sheetView showGridLines="0" tabSelected="1" workbookViewId="0">
      <selection sqref="A1:H1"/>
    </sheetView>
  </sheetViews>
  <sheetFormatPr defaultRowHeight="14.4" x14ac:dyDescent="0.3"/>
  <cols>
    <col min="1" max="1" width="23.33203125" bestFit="1" customWidth="1"/>
    <col min="2" max="4" width="7.88671875" bestFit="1" customWidth="1"/>
    <col min="5" max="5" width="8" bestFit="1" customWidth="1"/>
    <col min="7" max="7" width="10.33203125" bestFit="1" customWidth="1"/>
    <col min="8" max="8" width="15.6640625" bestFit="1" customWidth="1"/>
    <col min="10" max="10" width="6.77734375" bestFit="1" customWidth="1"/>
    <col min="11" max="11" width="23.109375" bestFit="1" customWidth="1"/>
    <col min="12" max="12" width="18.88671875" bestFit="1" customWidth="1"/>
    <col min="13" max="13" width="7.33203125" bestFit="1" customWidth="1"/>
    <col min="14" max="14" width="21" bestFit="1" customWidth="1"/>
  </cols>
  <sheetData>
    <row r="1" spans="1:15" ht="21" x14ac:dyDescent="0.4">
      <c r="A1" s="133" t="s">
        <v>191</v>
      </c>
      <c r="B1" s="133"/>
      <c r="C1" s="133"/>
      <c r="D1" s="133"/>
      <c r="E1" s="133"/>
      <c r="F1" s="133"/>
      <c r="G1" s="133"/>
      <c r="H1" s="133"/>
    </row>
    <row r="2" spans="1:15" x14ac:dyDescent="0.3">
      <c r="J2" s="56"/>
      <c r="K2" s="56"/>
      <c r="L2" s="56"/>
      <c r="M2" s="56"/>
      <c r="N2" s="56"/>
      <c r="O2" s="56"/>
    </row>
    <row r="3" spans="1:15" x14ac:dyDescent="0.3">
      <c r="A3" s="85" t="s">
        <v>12</v>
      </c>
      <c r="B3" s="86" t="s">
        <v>55</v>
      </c>
      <c r="C3" s="86" t="s">
        <v>37</v>
      </c>
      <c r="D3" s="86" t="s">
        <v>56</v>
      </c>
      <c r="E3" s="86" t="s">
        <v>132</v>
      </c>
      <c r="G3" s="87" t="s">
        <v>82</v>
      </c>
      <c r="H3" s="33" t="s">
        <v>137</v>
      </c>
      <c r="J3" s="94"/>
      <c r="K3" s="95"/>
      <c r="L3" s="95"/>
      <c r="M3" s="95"/>
      <c r="N3" s="100"/>
      <c r="O3" s="56"/>
    </row>
    <row r="4" spans="1:15" x14ac:dyDescent="0.3">
      <c r="A4" s="84" t="s">
        <v>133</v>
      </c>
      <c r="B4" s="4">
        <v>129200</v>
      </c>
      <c r="C4" s="4">
        <v>134500</v>
      </c>
      <c r="D4" s="4">
        <v>138700</v>
      </c>
      <c r="E4" s="6">
        <v>402400</v>
      </c>
      <c r="G4" s="27">
        <v>46082</v>
      </c>
      <c r="H4" s="4">
        <v>3194</v>
      </c>
      <c r="J4" s="97"/>
      <c r="K4" s="101"/>
      <c r="L4" s="98"/>
      <c r="M4" s="102"/>
      <c r="N4" s="97"/>
      <c r="O4" s="56"/>
    </row>
    <row r="5" spans="1:15" x14ac:dyDescent="0.3">
      <c r="A5" s="84" t="s">
        <v>134</v>
      </c>
      <c r="B5" s="4">
        <v>50430</v>
      </c>
      <c r="C5" s="4">
        <v>52550</v>
      </c>
      <c r="D5" s="4">
        <v>54180</v>
      </c>
      <c r="E5" s="6">
        <v>157160</v>
      </c>
      <c r="G5" s="27">
        <v>46112</v>
      </c>
      <c r="H5" s="4">
        <v>3429</v>
      </c>
      <c r="J5" s="97"/>
      <c r="K5" s="101"/>
      <c r="L5" s="98"/>
      <c r="M5" s="101"/>
      <c r="N5" s="97"/>
      <c r="O5" s="56"/>
    </row>
    <row r="6" spans="1:15" x14ac:dyDescent="0.3">
      <c r="A6" s="84" t="s">
        <v>135</v>
      </c>
      <c r="B6" s="4">
        <v>51800</v>
      </c>
      <c r="C6" s="4">
        <v>53200</v>
      </c>
      <c r="D6" s="4">
        <v>54600</v>
      </c>
      <c r="E6" s="6">
        <v>159600</v>
      </c>
      <c r="G6" s="27">
        <v>46113</v>
      </c>
      <c r="H6" s="4">
        <v>3523</v>
      </c>
      <c r="J6" s="97"/>
      <c r="K6" s="101"/>
      <c r="L6" s="98"/>
      <c r="M6" s="101"/>
      <c r="N6" s="97"/>
      <c r="O6" s="56"/>
    </row>
    <row r="7" spans="1:15" x14ac:dyDescent="0.3">
      <c r="A7" s="84" t="s">
        <v>136</v>
      </c>
      <c r="B7" s="4">
        <v>3480</v>
      </c>
      <c r="C7" s="4">
        <v>3530</v>
      </c>
      <c r="D7" s="4">
        <v>3725</v>
      </c>
      <c r="E7" s="6">
        <f>AVERAGE(B7:D7)</f>
        <v>3578.3333333333335</v>
      </c>
      <c r="G7" s="27">
        <v>46142</v>
      </c>
      <c r="H7" s="4">
        <v>3483</v>
      </c>
      <c r="J7" s="97"/>
      <c r="K7" s="101"/>
      <c r="L7" s="98"/>
      <c r="M7" s="102"/>
      <c r="N7" s="97"/>
      <c r="O7" s="56"/>
    </row>
    <row r="8" spans="1:15" x14ac:dyDescent="0.3">
      <c r="A8" s="84" t="s">
        <v>188</v>
      </c>
      <c r="B8" s="4">
        <v>3194</v>
      </c>
      <c r="C8" s="4">
        <v>3523</v>
      </c>
      <c r="D8" s="4">
        <v>3518</v>
      </c>
      <c r="G8" s="27">
        <v>46143</v>
      </c>
      <c r="H8" s="4">
        <v>3518</v>
      </c>
      <c r="J8" s="97"/>
      <c r="K8" s="101"/>
      <c r="L8" s="98"/>
      <c r="M8" s="102"/>
      <c r="N8" s="97"/>
      <c r="O8" s="56"/>
    </row>
    <row r="9" spans="1:15" x14ac:dyDescent="0.3">
      <c r="G9" s="27">
        <v>46173</v>
      </c>
      <c r="H9" s="4">
        <v>3675</v>
      </c>
      <c r="J9" s="97"/>
      <c r="K9" s="101"/>
      <c r="L9" s="98"/>
      <c r="M9" s="102"/>
      <c r="N9" s="97"/>
      <c r="O9" s="56"/>
    </row>
    <row r="10" spans="1:15" x14ac:dyDescent="0.3">
      <c r="A10" s="56"/>
      <c r="B10" s="56"/>
      <c r="C10" s="56"/>
      <c r="D10" s="56"/>
      <c r="E10" s="56"/>
      <c r="F10" s="56"/>
      <c r="G10" s="27">
        <v>46174</v>
      </c>
      <c r="H10" s="4">
        <v>3731</v>
      </c>
      <c r="J10" s="97"/>
      <c r="K10" s="101"/>
      <c r="L10" s="98"/>
      <c r="M10" s="102"/>
      <c r="N10" s="97"/>
      <c r="O10" s="56"/>
    </row>
    <row r="11" spans="1:15" x14ac:dyDescent="0.3">
      <c r="A11" s="56"/>
      <c r="B11" s="56"/>
      <c r="C11" s="56"/>
      <c r="D11" s="56"/>
      <c r="E11" s="56"/>
      <c r="F11" s="56"/>
      <c r="G11" s="27">
        <v>46203</v>
      </c>
      <c r="H11" s="4">
        <v>3098</v>
      </c>
      <c r="J11" s="97"/>
      <c r="K11" s="101"/>
      <c r="L11" s="98"/>
      <c r="M11" s="102"/>
      <c r="N11" s="97"/>
      <c r="O11" s="56"/>
    </row>
    <row r="12" spans="1:15" x14ac:dyDescent="0.3">
      <c r="A12" s="56"/>
      <c r="B12" s="56"/>
      <c r="C12" s="56"/>
      <c r="D12" s="56"/>
      <c r="E12" s="56"/>
      <c r="F12" s="56"/>
      <c r="G12" s="103"/>
      <c r="J12" s="97"/>
      <c r="K12" s="101"/>
      <c r="L12" s="98"/>
      <c r="M12" s="102"/>
      <c r="N12" s="97"/>
      <c r="O12" s="56"/>
    </row>
    <row r="13" spans="1:15" x14ac:dyDescent="0.3">
      <c r="A13" s="94"/>
      <c r="B13" s="94"/>
      <c r="C13" s="95"/>
      <c r="D13" s="94"/>
      <c r="E13" s="56"/>
      <c r="F13" s="56"/>
      <c r="G13" s="103"/>
      <c r="J13" s="56"/>
      <c r="K13" s="56"/>
      <c r="L13" s="56"/>
      <c r="M13" s="56"/>
      <c r="N13" s="56"/>
      <c r="O13" s="56"/>
    </row>
    <row r="14" spans="1:15" x14ac:dyDescent="0.3">
      <c r="B14" s="97"/>
      <c r="C14" s="98"/>
      <c r="D14" s="97"/>
      <c r="E14" s="56"/>
      <c r="F14" s="56"/>
      <c r="G14" s="56"/>
      <c r="J14" s="56"/>
      <c r="K14" s="56"/>
      <c r="L14" s="56"/>
      <c r="M14" s="56"/>
      <c r="N14" s="56"/>
      <c r="O14" s="56"/>
    </row>
    <row r="15" spans="1:15" x14ac:dyDescent="0.3">
      <c r="B15" s="97"/>
      <c r="C15" s="98"/>
      <c r="D15" s="97"/>
      <c r="E15" s="56"/>
      <c r="F15" s="56"/>
      <c r="G15" s="56"/>
    </row>
    <row r="16" spans="1:15" x14ac:dyDescent="0.3">
      <c r="A16" s="119" t="s">
        <v>187</v>
      </c>
      <c r="B16" s="97"/>
      <c r="D16" s="97"/>
    </row>
    <row r="17" spans="1:7" x14ac:dyDescent="0.3">
      <c r="A17" s="96"/>
      <c r="B17" s="97"/>
      <c r="C17" s="98"/>
      <c r="D17" s="97"/>
      <c r="E17" s="56"/>
      <c r="F17" s="56"/>
      <c r="G17" s="56"/>
    </row>
    <row r="18" spans="1:7" x14ac:dyDescent="0.3">
      <c r="A18" s="99"/>
      <c r="B18" s="97"/>
      <c r="C18" s="98"/>
      <c r="D18" s="97"/>
      <c r="E18" s="56"/>
      <c r="F18" s="56"/>
      <c r="G18" s="56"/>
    </row>
    <row r="19" spans="1:7" x14ac:dyDescent="0.3">
      <c r="A19" s="99"/>
      <c r="B19" s="97"/>
      <c r="C19" s="98"/>
      <c r="D19" s="97"/>
      <c r="E19" s="56"/>
      <c r="F19" s="56"/>
      <c r="G19" s="56"/>
    </row>
    <row r="20" spans="1:7" x14ac:dyDescent="0.3">
      <c r="A20" s="96"/>
      <c r="B20" s="97"/>
      <c r="C20" s="98"/>
      <c r="D20" s="97"/>
      <c r="E20" s="56"/>
      <c r="F20" s="56"/>
      <c r="G20" s="56"/>
    </row>
    <row r="21" spans="1:7" x14ac:dyDescent="0.3">
      <c r="A21" s="99"/>
      <c r="B21" s="97"/>
      <c r="C21" s="98"/>
      <c r="D21" s="97"/>
      <c r="E21" s="56"/>
      <c r="F21" s="56"/>
      <c r="G21" s="56"/>
    </row>
    <row r="22" spans="1:7" x14ac:dyDescent="0.3">
      <c r="A22" s="97"/>
      <c r="B22" s="97"/>
      <c r="C22" s="98"/>
      <c r="D22" s="97"/>
      <c r="E22" s="56"/>
      <c r="F22" s="56"/>
      <c r="G22" s="56"/>
    </row>
    <row r="23" spans="1:7" x14ac:dyDescent="0.3">
      <c r="A23" s="56"/>
      <c r="B23" s="56"/>
      <c r="C23" s="56"/>
      <c r="D23" s="56"/>
      <c r="E23" s="56"/>
      <c r="F23" s="56"/>
      <c r="G23" s="56"/>
    </row>
    <row r="24" spans="1:7" x14ac:dyDescent="0.3">
      <c r="A24" s="56"/>
      <c r="B24" s="56"/>
      <c r="C24" s="56"/>
      <c r="D24" s="56"/>
      <c r="E24" s="56"/>
      <c r="F24" s="56"/>
      <c r="G24" s="56"/>
    </row>
    <row r="25" spans="1:7" x14ac:dyDescent="0.3">
      <c r="A25" s="56"/>
      <c r="B25" s="56"/>
      <c r="C25" s="56"/>
      <c r="D25" s="56"/>
      <c r="E25" s="56"/>
      <c r="F25" s="56"/>
      <c r="G25" s="56"/>
    </row>
    <row r="26" spans="1:7" x14ac:dyDescent="0.3">
      <c r="A26" s="56"/>
      <c r="B26" s="56"/>
      <c r="C26" s="56"/>
      <c r="D26" s="56"/>
      <c r="E26" s="56"/>
      <c r="F26" s="56"/>
      <c r="G26" s="56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0715-E024-4D62-A61C-036658FE0C48}">
  <dimension ref="A1:G22"/>
  <sheetViews>
    <sheetView showGridLines="0" workbookViewId="0">
      <selection activeCell="K12" sqref="K12"/>
    </sheetView>
  </sheetViews>
  <sheetFormatPr defaultRowHeight="14.4" x14ac:dyDescent="0.3"/>
  <cols>
    <col min="1" max="1" width="35.6640625" bestFit="1" customWidth="1"/>
    <col min="2" max="2" width="12.44140625" bestFit="1" customWidth="1"/>
    <col min="3" max="7" width="10" bestFit="1" customWidth="1"/>
  </cols>
  <sheetData>
    <row r="1" spans="1:7" ht="21" x14ac:dyDescent="0.4">
      <c r="A1" s="133" t="s">
        <v>190</v>
      </c>
      <c r="B1" s="133"/>
      <c r="C1" s="133"/>
      <c r="D1" s="133"/>
      <c r="E1" s="133"/>
      <c r="F1" s="133"/>
      <c r="G1" s="133"/>
    </row>
    <row r="4" spans="1:7" x14ac:dyDescent="0.3">
      <c r="A4" s="158" t="s">
        <v>12</v>
      </c>
      <c r="B4" s="142" t="s">
        <v>139</v>
      </c>
      <c r="C4" s="142"/>
      <c r="D4" s="142"/>
      <c r="E4" s="142" t="s">
        <v>138</v>
      </c>
      <c r="F4" s="142"/>
      <c r="G4" s="142"/>
    </row>
    <row r="5" spans="1:7" x14ac:dyDescent="0.3">
      <c r="A5" s="158"/>
      <c r="B5" s="26" t="s">
        <v>55</v>
      </c>
      <c r="C5" s="26" t="s">
        <v>37</v>
      </c>
      <c r="D5" s="26" t="s">
        <v>56</v>
      </c>
      <c r="E5" s="26" t="s">
        <v>55</v>
      </c>
      <c r="F5" s="26" t="s">
        <v>37</v>
      </c>
      <c r="G5" s="26" t="s">
        <v>56</v>
      </c>
    </row>
    <row r="6" spans="1:7" x14ac:dyDescent="0.3">
      <c r="A6" s="9" t="s">
        <v>140</v>
      </c>
      <c r="B6" s="90">
        <v>51.356999999999999</v>
      </c>
      <c r="C6" s="90">
        <v>48.643800000000006</v>
      </c>
      <c r="D6" s="90">
        <v>50.581800000000001</v>
      </c>
      <c r="E6" s="89">
        <f>Actuals!B5/1000</f>
        <v>50.43</v>
      </c>
      <c r="F6" s="89">
        <f>Actuals!C5/1000</f>
        <v>52.55</v>
      </c>
      <c r="G6" s="89">
        <f>Actuals!D5/1000</f>
        <v>54.18</v>
      </c>
    </row>
    <row r="7" spans="1:7" x14ac:dyDescent="0.3">
      <c r="A7" s="9" t="s">
        <v>129</v>
      </c>
      <c r="B7" s="89">
        <f>Actuals!B6/1000</f>
        <v>51.8</v>
      </c>
      <c r="C7" s="89">
        <f>Actuals!C6/1000</f>
        <v>53.2</v>
      </c>
      <c r="D7" s="89">
        <f>Actuals!D6/1000</f>
        <v>54.6</v>
      </c>
      <c r="E7" s="7">
        <f>'Materials Budget'!B16</f>
        <v>50.653570000000002</v>
      </c>
      <c r="F7" s="7">
        <f>'Materials Budget'!C16</f>
        <v>48.934500000000007</v>
      </c>
      <c r="G7" s="7">
        <f>'Materials Budget'!D16</f>
        <v>50.872500000000002</v>
      </c>
    </row>
    <row r="8" spans="1:7" x14ac:dyDescent="0.3">
      <c r="A8" s="9" t="s">
        <v>151</v>
      </c>
      <c r="B8" s="88">
        <f>Actuals!B7</f>
        <v>3480</v>
      </c>
      <c r="C8" s="88">
        <f>Actuals!C7</f>
        <v>3530</v>
      </c>
      <c r="D8" s="88">
        <f>Actuals!D7</f>
        <v>3725</v>
      </c>
      <c r="E8" s="83">
        <f>Actuals!B8</f>
        <v>3194</v>
      </c>
      <c r="F8" s="83">
        <f>Actuals!C8</f>
        <v>3523</v>
      </c>
      <c r="G8" s="83">
        <f>Actuals!D8</f>
        <v>3518</v>
      </c>
    </row>
    <row r="9" spans="1:7" x14ac:dyDescent="0.3">
      <c r="A9" s="9" t="s">
        <v>131</v>
      </c>
      <c r="B9" s="88">
        <f>B7*B8</f>
        <v>180264</v>
      </c>
      <c r="C9" s="88">
        <f t="shared" ref="C9:D9" si="0">C7*C8</f>
        <v>187796</v>
      </c>
      <c r="D9" s="88">
        <f t="shared" si="0"/>
        <v>203385</v>
      </c>
      <c r="E9" s="79">
        <f>E7*E8</f>
        <v>161787.50258</v>
      </c>
      <c r="F9" s="79">
        <f t="shared" ref="F9:G9" si="1">F7*F8</f>
        <v>172396.24350000001</v>
      </c>
      <c r="G9" s="79">
        <f t="shared" si="1"/>
        <v>178969.45500000002</v>
      </c>
    </row>
    <row r="10" spans="1:7" x14ac:dyDescent="0.3">
      <c r="B10" s="88"/>
      <c r="C10" s="88"/>
      <c r="D10" s="88"/>
      <c r="E10" s="79"/>
      <c r="F10" s="79"/>
      <c r="G10" s="79"/>
    </row>
    <row r="11" spans="1:7" x14ac:dyDescent="0.3">
      <c r="E11" s="79"/>
      <c r="F11" s="79"/>
      <c r="G11" s="79"/>
    </row>
    <row r="13" spans="1:7" x14ac:dyDescent="0.3">
      <c r="A13" s="158" t="s">
        <v>12</v>
      </c>
      <c r="B13" s="142" t="s">
        <v>141</v>
      </c>
      <c r="C13" s="142"/>
      <c r="D13" s="142"/>
      <c r="E13" s="142" t="s">
        <v>142</v>
      </c>
      <c r="F13" s="142"/>
      <c r="G13" s="142"/>
    </row>
    <row r="14" spans="1:7" x14ac:dyDescent="0.3">
      <c r="A14" s="158"/>
      <c r="B14" s="26" t="s">
        <v>55</v>
      </c>
      <c r="C14" s="26" t="s">
        <v>37</v>
      </c>
      <c r="D14" s="26" t="s">
        <v>56</v>
      </c>
      <c r="E14" s="26" t="s">
        <v>55</v>
      </c>
      <c r="F14" s="26" t="s">
        <v>37</v>
      </c>
      <c r="G14" s="26" t="s">
        <v>56</v>
      </c>
    </row>
    <row r="15" spans="1:7" x14ac:dyDescent="0.3">
      <c r="A15" s="9" t="s">
        <v>140</v>
      </c>
      <c r="B15" s="90">
        <f>E6-B6</f>
        <v>-0.9269999999999996</v>
      </c>
      <c r="C15" s="90">
        <f t="shared" ref="C15:D15" si="2">F6-C6</f>
        <v>3.9061999999999912</v>
      </c>
      <c r="D15" s="90">
        <f t="shared" si="2"/>
        <v>3.5981999999999985</v>
      </c>
      <c r="E15" s="28">
        <f t="shared" ref="E15:F18" si="3">B15/E6</f>
        <v>-1.838191552647233E-2</v>
      </c>
      <c r="F15" s="28">
        <f t="shared" si="3"/>
        <v>7.4333016175071195E-2</v>
      </c>
      <c r="G15" s="28">
        <f t="shared" ref="G15" si="4">D15/G6</f>
        <v>6.6411960132890344E-2</v>
      </c>
    </row>
    <row r="16" spans="1:7" x14ac:dyDescent="0.3">
      <c r="A16" s="9" t="s">
        <v>129</v>
      </c>
      <c r="B16" s="90">
        <f>E7-B7</f>
        <v>-1.1464299999999952</v>
      </c>
      <c r="C16" s="90">
        <f t="shared" ref="C16:D18" si="5">F7-C7</f>
        <v>-4.2654999999999959</v>
      </c>
      <c r="D16" s="90">
        <f t="shared" si="5"/>
        <v>-3.7274999999999991</v>
      </c>
      <c r="E16" s="28">
        <f t="shared" si="3"/>
        <v>-2.2632758164922929E-2</v>
      </c>
      <c r="F16" s="28">
        <f t="shared" si="3"/>
        <v>-8.7167540283440009E-2</v>
      </c>
      <c r="G16" s="28">
        <f>D16/G7</f>
        <v>-7.3271413828689347E-2</v>
      </c>
    </row>
    <row r="17" spans="1:7" x14ac:dyDescent="0.3">
      <c r="A17" s="9" t="s">
        <v>130</v>
      </c>
      <c r="B17" s="88">
        <f>E8-B8</f>
        <v>-286</v>
      </c>
      <c r="C17" s="88">
        <f t="shared" si="5"/>
        <v>-7</v>
      </c>
      <c r="D17" s="88">
        <f t="shared" si="5"/>
        <v>-207</v>
      </c>
      <c r="E17" s="28">
        <f t="shared" si="3"/>
        <v>-8.9542892924232939E-2</v>
      </c>
      <c r="F17" s="28">
        <f t="shared" si="3"/>
        <v>-1.9869429463525404E-3</v>
      </c>
      <c r="G17" s="28">
        <f>D17/G8</f>
        <v>-5.884025014212621E-2</v>
      </c>
    </row>
    <row r="18" spans="1:7" x14ac:dyDescent="0.3">
      <c r="A18" s="9" t="s">
        <v>131</v>
      </c>
      <c r="B18" s="88">
        <f>E9-B9</f>
        <v>-18476.49742</v>
      </c>
      <c r="C18" s="88">
        <f t="shared" si="5"/>
        <v>-15399.756499999989</v>
      </c>
      <c r="D18" s="88">
        <f t="shared" si="5"/>
        <v>-24415.544999999984</v>
      </c>
      <c r="E18" s="28">
        <f t="shared" si="3"/>
        <v>-0.11420225373009772</v>
      </c>
      <c r="F18" s="28">
        <f t="shared" si="3"/>
        <v>-8.9327680159109663E-2</v>
      </c>
      <c r="G18" s="28">
        <f>D18/G9</f>
        <v>-0.13642297228876279</v>
      </c>
    </row>
    <row r="19" spans="1:7" x14ac:dyDescent="0.3">
      <c r="A19" s="9"/>
      <c r="B19" s="88"/>
      <c r="C19" s="88"/>
      <c r="D19" s="88"/>
      <c r="E19" s="28"/>
      <c r="F19" s="28"/>
      <c r="G19" s="28"/>
    </row>
    <row r="20" spans="1:7" x14ac:dyDescent="0.3">
      <c r="A20" s="120" t="s">
        <v>12</v>
      </c>
      <c r="B20" s="26" t="s">
        <v>55</v>
      </c>
      <c r="C20" s="26" t="s">
        <v>37</v>
      </c>
      <c r="D20" s="26" t="s">
        <v>56</v>
      </c>
      <c r="E20" s="28"/>
      <c r="F20" s="28"/>
      <c r="G20" s="28"/>
    </row>
    <row r="21" spans="1:7" x14ac:dyDescent="0.3">
      <c r="A21" s="121" t="s">
        <v>193</v>
      </c>
      <c r="B21" s="88">
        <f>E8*B7</f>
        <v>165449.19999999998</v>
      </c>
      <c r="C21" s="88">
        <f>F8*C7</f>
        <v>187423.6</v>
      </c>
      <c r="D21" s="88">
        <f>G8*D7</f>
        <v>192082.80000000002</v>
      </c>
      <c r="E21" s="28"/>
      <c r="F21" s="28"/>
      <c r="G21" s="28"/>
    </row>
    <row r="22" spans="1:7" x14ac:dyDescent="0.3">
      <c r="A22" s="9" t="s">
        <v>192</v>
      </c>
      <c r="B22" s="88">
        <f>B21-B9</f>
        <v>-14814.800000000017</v>
      </c>
      <c r="C22" s="88">
        <f>C21-C9</f>
        <v>-372.39999999999418</v>
      </c>
      <c r="D22" s="88">
        <f>D21-D9</f>
        <v>-11302.199999999983</v>
      </c>
    </row>
  </sheetData>
  <mergeCells count="7">
    <mergeCell ref="A1:G1"/>
    <mergeCell ref="E4:G4"/>
    <mergeCell ref="B4:D4"/>
    <mergeCell ref="B13:D13"/>
    <mergeCell ref="E13:G13"/>
    <mergeCell ref="A4:A5"/>
    <mergeCell ref="A13:A14"/>
  </mergeCells>
  <conditionalFormatting sqref="E15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7EBF-F71B-4BAE-B077-43C8C789B18F}">
  <dimension ref="A1:H16"/>
  <sheetViews>
    <sheetView showGridLines="0" workbookViewId="0">
      <selection activeCell="K10" sqref="K10"/>
    </sheetView>
  </sheetViews>
  <sheetFormatPr defaultRowHeight="14.4" x14ac:dyDescent="0.3"/>
  <cols>
    <col min="1" max="1" width="7.6640625" style="9" bestFit="1" customWidth="1"/>
    <col min="2" max="2" width="11" style="9" bestFit="1" customWidth="1"/>
    <col min="3" max="4" width="10.109375" style="9" bestFit="1" customWidth="1"/>
    <col min="5" max="5" width="9.88671875" style="9" bestFit="1" customWidth="1"/>
    <col min="6" max="6" width="10.109375" style="9" bestFit="1" customWidth="1"/>
    <col min="7" max="7" width="11.109375" style="9" bestFit="1" customWidth="1"/>
    <col min="8" max="8" width="11" style="9" bestFit="1" customWidth="1"/>
    <col min="9" max="16384" width="8.88671875" style="9"/>
  </cols>
  <sheetData>
    <row r="1" spans="1:8" ht="21" x14ac:dyDescent="0.4">
      <c r="A1" s="134" t="s">
        <v>189</v>
      </c>
      <c r="B1" s="134"/>
      <c r="C1" s="134"/>
      <c r="D1" s="134"/>
      <c r="E1" s="134"/>
      <c r="F1" s="134"/>
      <c r="G1" s="134"/>
      <c r="H1" s="134"/>
    </row>
    <row r="3" spans="1:8" x14ac:dyDescent="0.3">
      <c r="A3" s="91" t="s">
        <v>33</v>
      </c>
      <c r="B3" s="91" t="s">
        <v>150</v>
      </c>
      <c r="C3" s="91" t="s">
        <v>143</v>
      </c>
      <c r="D3" s="91" t="s">
        <v>144</v>
      </c>
      <c r="E3" s="91" t="s">
        <v>145</v>
      </c>
      <c r="F3" s="91" t="s">
        <v>146</v>
      </c>
      <c r="G3" s="91" t="s">
        <v>147</v>
      </c>
      <c r="H3" s="91" t="s">
        <v>148</v>
      </c>
    </row>
    <row r="4" spans="1:8" x14ac:dyDescent="0.3">
      <c r="A4" s="104" t="s">
        <v>65</v>
      </c>
      <c r="B4" s="104" t="s">
        <v>55</v>
      </c>
      <c r="C4" s="107">
        <v>3194</v>
      </c>
      <c r="D4" s="107">
        <v>3429</v>
      </c>
      <c r="E4" s="105">
        <v>2</v>
      </c>
      <c r="F4" s="107">
        <f>C4*25*E4</f>
        <v>159700</v>
      </c>
      <c r="G4" s="107">
        <f>D4*25*E4</f>
        <v>171450</v>
      </c>
      <c r="H4" s="107">
        <f>G4-F4</f>
        <v>11750</v>
      </c>
    </row>
    <row r="5" spans="1:8" x14ac:dyDescent="0.3">
      <c r="A5" s="92" t="s">
        <v>55</v>
      </c>
      <c r="B5" s="92" t="s">
        <v>37</v>
      </c>
      <c r="C5" s="93">
        <f>Actuals!H6</f>
        <v>3523</v>
      </c>
      <c r="D5" s="93">
        <f>Actuals!H7</f>
        <v>3483</v>
      </c>
      <c r="E5" s="106">
        <f>'Hedging analysis'!B10</f>
        <v>2</v>
      </c>
      <c r="F5" s="93">
        <f>C5*25*E5</f>
        <v>176150</v>
      </c>
      <c r="G5" s="93">
        <f>D5*25*E5</f>
        <v>174150</v>
      </c>
      <c r="H5" s="93">
        <f>G5-F5</f>
        <v>-2000</v>
      </c>
    </row>
    <row r="6" spans="1:8" x14ac:dyDescent="0.3">
      <c r="A6" s="92" t="s">
        <v>37</v>
      </c>
      <c r="B6" s="92" t="s">
        <v>56</v>
      </c>
      <c r="C6" s="93">
        <f>Actuals!H8</f>
        <v>3518</v>
      </c>
      <c r="D6" s="93">
        <f>Actuals!H9</f>
        <v>3675</v>
      </c>
      <c r="E6" s="106">
        <f>'Hedging analysis'!C10</f>
        <v>2</v>
      </c>
      <c r="F6" s="93">
        <f t="shared" ref="F6:F7" si="0">C6*25*E6</f>
        <v>175900</v>
      </c>
      <c r="G6" s="93">
        <f t="shared" ref="G6:G7" si="1">D6*25*E6</f>
        <v>183750</v>
      </c>
      <c r="H6" s="93">
        <f>G6-F6</f>
        <v>7850</v>
      </c>
    </row>
    <row r="7" spans="1:8" x14ac:dyDescent="0.3">
      <c r="A7" s="92" t="s">
        <v>56</v>
      </c>
      <c r="B7" s="92" t="s">
        <v>39</v>
      </c>
      <c r="C7" s="93">
        <f>Actuals!H10</f>
        <v>3731</v>
      </c>
      <c r="D7" s="93">
        <f>Actuals!H11</f>
        <v>3098</v>
      </c>
      <c r="E7" s="106">
        <f>'Hedging analysis'!D10</f>
        <v>2</v>
      </c>
      <c r="F7" s="93">
        <f t="shared" si="0"/>
        <v>186550</v>
      </c>
      <c r="G7" s="93">
        <f t="shared" si="1"/>
        <v>154900</v>
      </c>
      <c r="H7" s="93">
        <f>G7-F7</f>
        <v>-31650</v>
      </c>
    </row>
    <row r="8" spans="1:8" ht="15" thickBot="1" x14ac:dyDescent="0.35"/>
    <row r="9" spans="1:8" x14ac:dyDescent="0.3">
      <c r="A9" s="91" t="s">
        <v>33</v>
      </c>
      <c r="B9" s="122" t="s">
        <v>148</v>
      </c>
      <c r="C9" s="124" t="s">
        <v>194</v>
      </c>
      <c r="D9" s="125" t="s">
        <v>149</v>
      </c>
      <c r="E9" s="124" t="s">
        <v>195</v>
      </c>
      <c r="F9" s="125" t="s">
        <v>149</v>
      </c>
    </row>
    <row r="10" spans="1:8" x14ac:dyDescent="0.3">
      <c r="A10" s="92" t="s">
        <v>55</v>
      </c>
      <c r="B10" s="123">
        <f>H4</f>
        <v>11750</v>
      </c>
      <c r="C10" s="126">
        <f>'Budget vs Actuals'!B22</f>
        <v>-14814.800000000017</v>
      </c>
      <c r="D10" s="127">
        <f>B10+C10</f>
        <v>-3064.8000000000175</v>
      </c>
      <c r="E10" s="126">
        <f>'Budget vs Actuals'!B18</f>
        <v>-18476.49742</v>
      </c>
      <c r="F10" s="127">
        <f>B10+E10</f>
        <v>-6726.4974199999997</v>
      </c>
    </row>
    <row r="11" spans="1:8" x14ac:dyDescent="0.3">
      <c r="A11" s="92" t="s">
        <v>37</v>
      </c>
      <c r="B11" s="123">
        <f t="shared" ref="B11:B12" si="2">H5</f>
        <v>-2000</v>
      </c>
      <c r="C11" s="126">
        <f>'Budget vs Actuals'!C22</f>
        <v>-372.39999999999418</v>
      </c>
      <c r="D11" s="127">
        <f t="shared" ref="D11:D12" si="3">B11+C11</f>
        <v>-2372.3999999999942</v>
      </c>
      <c r="E11" s="126">
        <f>'Budget vs Actuals'!C18</f>
        <v>-15399.756499999989</v>
      </c>
      <c r="F11" s="127">
        <f t="shared" ref="F11:F12" si="4">B11+E11</f>
        <v>-17399.756499999989</v>
      </c>
    </row>
    <row r="12" spans="1:8" x14ac:dyDescent="0.3">
      <c r="A12" s="92" t="s">
        <v>56</v>
      </c>
      <c r="B12" s="123">
        <f t="shared" si="2"/>
        <v>7850</v>
      </c>
      <c r="C12" s="126">
        <f>'Budget vs Actuals'!D22</f>
        <v>-11302.199999999983</v>
      </c>
      <c r="D12" s="127">
        <f t="shared" si="3"/>
        <v>-3452.1999999999825</v>
      </c>
      <c r="E12" s="126">
        <f>'Budget vs Actuals'!D18</f>
        <v>-24415.544999999984</v>
      </c>
      <c r="F12" s="127">
        <f t="shared" si="4"/>
        <v>-16565.544999999984</v>
      </c>
    </row>
    <row r="13" spans="1:8" ht="15" thickBot="1" x14ac:dyDescent="0.35">
      <c r="A13" s="128" t="s">
        <v>48</v>
      </c>
      <c r="B13" s="129">
        <f>SUM(B10:B12)</f>
        <v>17600</v>
      </c>
      <c r="C13" s="130">
        <f t="shared" ref="C13:F13" si="5">SUM(C10:C12)</f>
        <v>-26489.399999999994</v>
      </c>
      <c r="D13" s="131">
        <f t="shared" si="5"/>
        <v>-8889.3999999999942</v>
      </c>
      <c r="E13" s="130">
        <f t="shared" si="5"/>
        <v>-58291.798919999972</v>
      </c>
      <c r="F13" s="131">
        <f t="shared" si="5"/>
        <v>-40691.798919999972</v>
      </c>
    </row>
    <row r="14" spans="1:8" x14ac:dyDescent="0.3">
      <c r="A14" s="132"/>
      <c r="B14" s="132"/>
      <c r="C14" s="132"/>
      <c r="D14" s="132"/>
      <c r="E14" s="132"/>
      <c r="F14" s="132"/>
    </row>
    <row r="15" spans="1:8" x14ac:dyDescent="0.3">
      <c r="A15" s="132"/>
      <c r="B15" s="132"/>
      <c r="C15" s="132"/>
      <c r="D15" s="132"/>
      <c r="E15" s="132"/>
      <c r="F15" s="132"/>
    </row>
    <row r="16" spans="1:8" x14ac:dyDescent="0.3">
      <c r="A16" s="7" t="s">
        <v>186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64BB-6F45-41F5-847C-3B2F533E62FB}">
  <sheetPr>
    <tabColor rgb="FFFF0000"/>
  </sheetPr>
  <dimension ref="A1:V758"/>
  <sheetViews>
    <sheetView workbookViewId="0">
      <selection activeCell="R23" sqref="R23"/>
    </sheetView>
  </sheetViews>
  <sheetFormatPr defaultRowHeight="14.4" x14ac:dyDescent="0.3"/>
  <cols>
    <col min="1" max="1" width="10.33203125" bestFit="1" customWidth="1"/>
    <col min="2" max="2" width="8.88671875" bestFit="1" customWidth="1"/>
    <col min="3" max="3" width="11.44140625" bestFit="1" customWidth="1"/>
    <col min="5" max="5" width="15.77734375" bestFit="1" customWidth="1"/>
    <col min="6" max="6" width="15.5546875" bestFit="1" customWidth="1"/>
    <col min="7" max="9" width="7" bestFit="1" customWidth="1"/>
    <col min="10" max="10" width="10.77734375" bestFit="1" customWidth="1"/>
    <col min="12" max="12" width="10.33203125" bestFit="1" customWidth="1"/>
    <col min="13" max="13" width="10.33203125" customWidth="1"/>
    <col min="17" max="17" width="15.77734375" bestFit="1" customWidth="1"/>
    <col min="18" max="18" width="15.5546875" bestFit="1" customWidth="1"/>
    <col min="19" max="19" width="6.6640625" bestFit="1" customWidth="1"/>
    <col min="20" max="21" width="7" bestFit="1" customWidth="1"/>
    <col min="22" max="22" width="10.77734375" bestFit="1" customWidth="1"/>
  </cols>
  <sheetData>
    <row r="1" spans="1:22" x14ac:dyDescent="0.3">
      <c r="A1" t="s">
        <v>82</v>
      </c>
      <c r="B1" t="s">
        <v>83</v>
      </c>
      <c r="C1" t="s">
        <v>85</v>
      </c>
      <c r="L1" s="39" t="s">
        <v>82</v>
      </c>
      <c r="M1" s="40" t="s">
        <v>33</v>
      </c>
      <c r="N1" s="40" t="s">
        <v>84</v>
      </c>
      <c r="O1" s="41" t="s">
        <v>85</v>
      </c>
    </row>
    <row r="2" spans="1:22" x14ac:dyDescent="0.3">
      <c r="A2" s="27">
        <v>45019</v>
      </c>
      <c r="B2" s="7">
        <v>2397.5</v>
      </c>
      <c r="C2" s="28">
        <v>-6.4000000000000003E-3</v>
      </c>
      <c r="E2" s="30" t="s">
        <v>86</v>
      </c>
      <c r="F2" s="30" t="s">
        <v>93</v>
      </c>
      <c r="L2" s="45">
        <v>45046</v>
      </c>
      <c r="M2" s="46">
        <v>45017</v>
      </c>
      <c r="N2" s="47">
        <v>2360</v>
      </c>
      <c r="O2" s="44">
        <v>-2.8799999999999999E-2</v>
      </c>
      <c r="P2">
        <v>2547</v>
      </c>
      <c r="Q2" s="30" t="s">
        <v>86</v>
      </c>
      <c r="R2" s="30" t="s">
        <v>93</v>
      </c>
    </row>
    <row r="3" spans="1:22" x14ac:dyDescent="0.3">
      <c r="A3" s="27">
        <v>45020</v>
      </c>
      <c r="B3" s="7">
        <v>2370.5</v>
      </c>
      <c r="C3" s="28">
        <v>-1.1299999999999999E-2</v>
      </c>
      <c r="E3" s="30" t="s">
        <v>87</v>
      </c>
      <c r="F3" t="s">
        <v>89</v>
      </c>
      <c r="G3" t="s">
        <v>90</v>
      </c>
      <c r="H3" t="s">
        <v>91</v>
      </c>
      <c r="I3" t="s">
        <v>92</v>
      </c>
      <c r="J3" t="s">
        <v>88</v>
      </c>
      <c r="L3" s="42">
        <v>45077</v>
      </c>
      <c r="M3" s="46">
        <v>45047</v>
      </c>
      <c r="N3" s="43">
        <v>2260</v>
      </c>
      <c r="O3" s="44">
        <v>-4.2372881355932202E-2</v>
      </c>
      <c r="P3">
        <v>2547</v>
      </c>
      <c r="Q3" s="30" t="s">
        <v>87</v>
      </c>
      <c r="R3" t="s">
        <v>89</v>
      </c>
      <c r="S3" t="s">
        <v>90</v>
      </c>
      <c r="T3" t="s">
        <v>91</v>
      </c>
      <c r="U3" t="s">
        <v>92</v>
      </c>
      <c r="V3" t="s">
        <v>88</v>
      </c>
    </row>
    <row r="4" spans="1:22" x14ac:dyDescent="0.3">
      <c r="A4" s="27">
        <v>45021</v>
      </c>
      <c r="B4" s="7">
        <v>2333.5</v>
      </c>
      <c r="C4" s="28">
        <v>-1.5599999999999999E-2</v>
      </c>
      <c r="E4" s="31" t="s">
        <v>63</v>
      </c>
      <c r="F4" s="29"/>
      <c r="G4" s="29">
        <v>-4.3199999999999961E-2</v>
      </c>
      <c r="H4" s="29">
        <v>1.829999999999999E-2</v>
      </c>
      <c r="I4" s="29">
        <v>4.179999999999999E-2</v>
      </c>
      <c r="J4" s="29">
        <v>1.6900000000000019E-2</v>
      </c>
      <c r="L4" s="45">
        <v>45107</v>
      </c>
      <c r="M4" s="46">
        <v>45078</v>
      </c>
      <c r="N4" s="47">
        <v>2155</v>
      </c>
      <c r="O4" s="44">
        <v>-4.6460176991150445E-2</v>
      </c>
      <c r="P4">
        <v>2547</v>
      </c>
      <c r="Q4" s="31" t="s">
        <v>63</v>
      </c>
      <c r="R4" s="29"/>
      <c r="S4" s="29">
        <v>-5.5788590604026848E-2</v>
      </c>
      <c r="T4" s="29">
        <v>8.7314017227878554E-3</v>
      </c>
      <c r="U4" s="29">
        <v>1.105884707766216E-2</v>
      </c>
      <c r="V4" s="29">
        <v>-3.5998341803576833E-2</v>
      </c>
    </row>
    <row r="5" spans="1:22" x14ac:dyDescent="0.3">
      <c r="A5" s="27">
        <v>45022</v>
      </c>
      <c r="B5" s="7">
        <v>2333.5</v>
      </c>
      <c r="C5" s="28">
        <v>0</v>
      </c>
      <c r="E5" s="31" t="s">
        <v>64</v>
      </c>
      <c r="F5" s="29"/>
      <c r="G5" s="29">
        <v>-2.2499999999999996E-2</v>
      </c>
      <c r="H5" s="29">
        <v>5.6999999999999985E-3</v>
      </c>
      <c r="I5" s="29">
        <v>1.0699999999999996E-2</v>
      </c>
      <c r="J5" s="29">
        <v>-6.0999999999999995E-3</v>
      </c>
      <c r="L5" s="42">
        <v>45138</v>
      </c>
      <c r="M5" s="46">
        <v>45108</v>
      </c>
      <c r="N5" s="43">
        <v>2262</v>
      </c>
      <c r="O5" s="44">
        <v>4.9651972157772624E-2</v>
      </c>
      <c r="P5">
        <v>2547</v>
      </c>
      <c r="Q5" s="31" t="s">
        <v>64</v>
      </c>
      <c r="R5" s="29"/>
      <c r="S5" s="29">
        <v>-1.1550422034651266E-2</v>
      </c>
      <c r="T5" s="29">
        <v>1.1799868027791652E-2</v>
      </c>
      <c r="U5" s="29">
        <v>6.5132392972036657E-2</v>
      </c>
      <c r="V5" s="29">
        <v>6.5381838965177047E-2</v>
      </c>
    </row>
    <row r="6" spans="1:22" x14ac:dyDescent="0.3">
      <c r="A6" s="27">
        <v>45027</v>
      </c>
      <c r="B6" s="7">
        <v>2302.5</v>
      </c>
      <c r="C6" s="28">
        <v>-1.3299999999999999E-2</v>
      </c>
      <c r="E6" s="31" t="s">
        <v>65</v>
      </c>
      <c r="F6" s="29"/>
      <c r="G6" s="29">
        <v>4.8399999999999999E-2</v>
      </c>
      <c r="H6" s="29">
        <v>-2.6700000000000002E-2</v>
      </c>
      <c r="I6" s="29">
        <v>9.1299999999999978E-2</v>
      </c>
      <c r="J6" s="29">
        <v>0.11299999999999998</v>
      </c>
      <c r="L6" s="45">
        <v>45169</v>
      </c>
      <c r="M6" s="46">
        <v>45139</v>
      </c>
      <c r="N6" s="47">
        <v>2236</v>
      </c>
      <c r="O6" s="44">
        <v>-1.1494252873563218E-2</v>
      </c>
      <c r="P6">
        <v>2547</v>
      </c>
      <c r="Q6" s="31" t="s">
        <v>65</v>
      </c>
      <c r="R6" s="29"/>
      <c r="S6" s="29">
        <v>6.5168539325842698E-2</v>
      </c>
      <c r="T6" s="29">
        <v>-2.6048260252426302E-2</v>
      </c>
      <c r="U6" s="29">
        <v>6.6276350231556716E-2</v>
      </c>
      <c r="V6" s="29">
        <v>0.10539662930497311</v>
      </c>
    </row>
    <row r="7" spans="1:22" x14ac:dyDescent="0.3">
      <c r="A7" s="27">
        <v>45028</v>
      </c>
      <c r="B7" s="7">
        <v>2325</v>
      </c>
      <c r="C7" s="28">
        <v>9.7999999999999997E-3</v>
      </c>
      <c r="E7" s="31" t="s">
        <v>55</v>
      </c>
      <c r="F7" s="29">
        <v>-2.2399999999999996E-2</v>
      </c>
      <c r="G7" s="29">
        <v>0.10539999999999998</v>
      </c>
      <c r="H7" s="29">
        <v>-5.460000000000001E-2</v>
      </c>
      <c r="I7" s="29"/>
      <c r="J7" s="29">
        <v>2.8399999999999981E-2</v>
      </c>
      <c r="L7" s="42">
        <v>45199</v>
      </c>
      <c r="M7" s="46">
        <v>45170</v>
      </c>
      <c r="N7" s="43">
        <v>2323</v>
      </c>
      <c r="O7" s="44">
        <v>3.8908765652951698E-2</v>
      </c>
      <c r="P7">
        <v>2547</v>
      </c>
      <c r="Q7" s="31" t="s">
        <v>55</v>
      </c>
      <c r="R7" s="29">
        <v>-2.8799999999999999E-2</v>
      </c>
      <c r="S7" s="29">
        <v>8.5232067510548529E-2</v>
      </c>
      <c r="T7" s="29">
        <v>-5.4848747439735307E-2</v>
      </c>
      <c r="U7" s="29"/>
      <c r="V7" s="29">
        <v>1.5833200708132225E-3</v>
      </c>
    </row>
    <row r="8" spans="1:22" x14ac:dyDescent="0.3">
      <c r="A8" s="27">
        <v>45029</v>
      </c>
      <c r="B8" s="7">
        <v>2367</v>
      </c>
      <c r="C8" s="28">
        <v>1.8100000000000002E-2</v>
      </c>
      <c r="E8" s="31" t="s">
        <v>37</v>
      </c>
      <c r="F8" s="29">
        <v>-4.6100000000000009E-2</v>
      </c>
      <c r="G8" s="29">
        <v>2.5999999999999995E-2</v>
      </c>
      <c r="H8" s="29">
        <v>2.1399999999999992E-2</v>
      </c>
      <c r="I8" s="29"/>
      <c r="J8" s="29">
        <v>1.2999999999999783E-3</v>
      </c>
      <c r="L8" s="45">
        <v>45230</v>
      </c>
      <c r="M8" s="46">
        <v>45200</v>
      </c>
      <c r="N8" s="47">
        <v>2247</v>
      </c>
      <c r="O8" s="44">
        <v>-3.2716315109771847E-2</v>
      </c>
      <c r="P8">
        <v>2547</v>
      </c>
      <c r="Q8" s="31" t="s">
        <v>37</v>
      </c>
      <c r="R8" s="29">
        <v>-4.2372881355932202E-2</v>
      </c>
      <c r="S8" s="29">
        <v>3.8880248833592534E-2</v>
      </c>
      <c r="T8" s="29">
        <v>1.3773415848804869E-2</v>
      </c>
      <c r="U8" s="29"/>
      <c r="V8" s="29">
        <v>1.0280783326465202E-2</v>
      </c>
    </row>
    <row r="9" spans="1:22" x14ac:dyDescent="0.3">
      <c r="A9" s="27">
        <v>45030</v>
      </c>
      <c r="B9" s="7">
        <v>2385.5</v>
      </c>
      <c r="C9" s="28">
        <v>7.7999999999999996E-3</v>
      </c>
      <c r="E9" s="31" t="s">
        <v>56</v>
      </c>
      <c r="F9" s="29">
        <v>-4.1499999999999995E-2</v>
      </c>
      <c r="G9" s="29">
        <v>-4.8500000000000008E-2</v>
      </c>
      <c r="H9" s="29">
        <v>6.2199999999999998E-2</v>
      </c>
      <c r="I9" s="29"/>
      <c r="J9" s="29">
        <v>-2.7799999999999998E-2</v>
      </c>
      <c r="L9" s="42">
        <v>45260</v>
      </c>
      <c r="M9" s="46">
        <v>45231</v>
      </c>
      <c r="N9" s="43">
        <v>2187</v>
      </c>
      <c r="O9" s="44">
        <v>-2.67022696929239E-2</v>
      </c>
      <c r="P9">
        <v>2547</v>
      </c>
      <c r="Q9" s="31" t="s">
        <v>56</v>
      </c>
      <c r="R9" s="29">
        <v>-4.6460176991150445E-2</v>
      </c>
      <c r="S9" s="29">
        <v>-5.1272455089820361E-2</v>
      </c>
      <c r="T9" s="29">
        <v>7.1733947216969504E-2</v>
      </c>
      <c r="U9" s="29"/>
      <c r="V9" s="29">
        <v>-2.5998684864001295E-2</v>
      </c>
    </row>
    <row r="10" spans="1:22" x14ac:dyDescent="0.3">
      <c r="A10" s="27">
        <v>45033</v>
      </c>
      <c r="B10" s="7">
        <v>2378.5</v>
      </c>
      <c r="C10" s="28">
        <v>-2.8999999999999998E-3</v>
      </c>
      <c r="E10" s="31" t="s">
        <v>57</v>
      </c>
      <c r="F10" s="29">
        <v>6.0799999999999993E-2</v>
      </c>
      <c r="G10" s="29">
        <v>-9.5600000000000018E-2</v>
      </c>
      <c r="H10" s="29">
        <v>-1.3400000000000002E-2</v>
      </c>
      <c r="I10" s="29"/>
      <c r="J10" s="29">
        <v>-4.8200000000000028E-2</v>
      </c>
      <c r="L10" s="45">
        <v>45291</v>
      </c>
      <c r="M10" s="46">
        <v>45261</v>
      </c>
      <c r="N10" s="47">
        <v>2384</v>
      </c>
      <c r="O10" s="44">
        <v>9.0077732053040691E-2</v>
      </c>
      <c r="P10">
        <v>2547</v>
      </c>
      <c r="Q10" s="31" t="s">
        <v>57</v>
      </c>
      <c r="R10" s="29">
        <v>4.9651972157772624E-2</v>
      </c>
      <c r="S10" s="29">
        <v>-8.5996055226824464E-2</v>
      </c>
      <c r="T10" s="29">
        <v>-1.3693375781519627E-2</v>
      </c>
      <c r="U10" s="29"/>
      <c r="V10" s="29">
        <v>-5.0037458850571467E-2</v>
      </c>
    </row>
    <row r="11" spans="1:22" x14ac:dyDescent="0.3">
      <c r="A11" s="27">
        <v>45034</v>
      </c>
      <c r="B11" s="7">
        <v>2437</v>
      </c>
      <c r="C11" s="28">
        <v>2.46E-2</v>
      </c>
      <c r="E11" s="31" t="s">
        <v>58</v>
      </c>
      <c r="F11" s="29">
        <v>-3.2100000000000017E-2</v>
      </c>
      <c r="G11" s="29">
        <v>6.7999999999999991E-2</v>
      </c>
      <c r="H11" s="29">
        <v>2.179999999999999E-2</v>
      </c>
      <c r="I11" s="29"/>
      <c r="J11" s="29">
        <v>5.769999999999996E-2</v>
      </c>
      <c r="L11" s="42">
        <v>45322</v>
      </c>
      <c r="M11" s="46">
        <v>45292</v>
      </c>
      <c r="N11" s="43">
        <v>2251</v>
      </c>
      <c r="O11" s="44">
        <v>-5.5788590604026848E-2</v>
      </c>
      <c r="P11">
        <v>2547</v>
      </c>
      <c r="Q11" s="31" t="s">
        <v>58</v>
      </c>
      <c r="R11" s="29">
        <v>-1.1494252873563218E-2</v>
      </c>
      <c r="S11" s="29">
        <v>5.9128182995252479E-2</v>
      </c>
      <c r="T11" s="29">
        <v>1.532239247102749E-2</v>
      </c>
      <c r="U11" s="29"/>
      <c r="V11" s="29">
        <v>6.2956322592716746E-2</v>
      </c>
    </row>
    <row r="12" spans="1:22" x14ac:dyDescent="0.3">
      <c r="A12" s="27">
        <v>45035</v>
      </c>
      <c r="B12" s="7">
        <v>2445</v>
      </c>
      <c r="C12" s="28">
        <v>3.3E-3</v>
      </c>
      <c r="E12" s="31" t="s">
        <v>59</v>
      </c>
      <c r="F12" s="29">
        <v>6.2600000000000003E-2</v>
      </c>
      <c r="G12" s="29">
        <v>6.7499999999999991E-2</v>
      </c>
      <c r="H12" s="29">
        <v>2.3899999999999998E-2</v>
      </c>
      <c r="I12" s="29"/>
      <c r="J12" s="29">
        <v>0.154</v>
      </c>
      <c r="L12" s="45">
        <v>45351</v>
      </c>
      <c r="M12" s="46">
        <v>45323</v>
      </c>
      <c r="N12" s="47">
        <v>2225</v>
      </c>
      <c r="O12" s="44">
        <v>-1.1550422034651266E-2</v>
      </c>
      <c r="P12">
        <v>2547</v>
      </c>
      <c r="Q12" s="31" t="s">
        <v>59</v>
      </c>
      <c r="R12" s="29">
        <v>3.8908765652951698E-2</v>
      </c>
      <c r="S12" s="29">
        <v>5.9494702526487364E-2</v>
      </c>
      <c r="T12" s="29">
        <v>3.096751953424234E-2</v>
      </c>
      <c r="U12" s="29"/>
      <c r="V12" s="29">
        <v>0.12937098771368141</v>
      </c>
    </row>
    <row r="13" spans="1:22" x14ac:dyDescent="0.3">
      <c r="A13" s="27">
        <v>45036</v>
      </c>
      <c r="B13" s="7">
        <v>2421</v>
      </c>
      <c r="C13" s="28">
        <v>-9.7999999999999997E-3</v>
      </c>
      <c r="E13" s="31" t="s">
        <v>60</v>
      </c>
      <c r="F13" s="29">
        <v>-4.0500000000000029E-2</v>
      </c>
      <c r="G13" s="29">
        <v>4.5999999999999999E-3</v>
      </c>
      <c r="H13" s="29">
        <v>7.640000000000001E-2</v>
      </c>
      <c r="I13" s="29"/>
      <c r="J13" s="29">
        <v>4.049999999999998E-2</v>
      </c>
      <c r="L13" s="42">
        <v>45382</v>
      </c>
      <c r="M13" s="46">
        <v>45352</v>
      </c>
      <c r="N13" s="43">
        <v>2370</v>
      </c>
      <c r="O13" s="44">
        <v>6.5168539325842698E-2</v>
      </c>
      <c r="P13">
        <v>2547</v>
      </c>
      <c r="Q13" s="31" t="s">
        <v>60</v>
      </c>
      <c r="R13" s="29">
        <v>-3.2716315109771847E-2</v>
      </c>
      <c r="S13" s="29">
        <v>1.0384615384615384E-2</v>
      </c>
      <c r="T13" s="29">
        <v>8.0043839280738507E-2</v>
      </c>
      <c r="U13" s="29"/>
      <c r="V13" s="29">
        <v>5.7712139555582048E-2</v>
      </c>
    </row>
    <row r="14" spans="1:22" x14ac:dyDescent="0.3">
      <c r="A14" s="27">
        <v>45037</v>
      </c>
      <c r="B14" s="7">
        <v>2396.5</v>
      </c>
      <c r="C14" s="28">
        <v>-1.01E-2</v>
      </c>
      <c r="E14" s="31" t="s">
        <v>61</v>
      </c>
      <c r="F14" s="29">
        <v>-2.5600000000000005E-2</v>
      </c>
      <c r="G14" s="29">
        <v>-5.8999999999999964E-3</v>
      </c>
      <c r="H14" s="29">
        <v>-5.899999999999999E-3</v>
      </c>
      <c r="I14" s="29"/>
      <c r="J14" s="29">
        <v>-3.7400000000000003E-2</v>
      </c>
      <c r="L14" s="45">
        <v>45412</v>
      </c>
      <c r="M14" s="46">
        <v>45383</v>
      </c>
      <c r="N14" s="47">
        <v>2572</v>
      </c>
      <c r="O14" s="44">
        <v>8.5232067510548529E-2</v>
      </c>
      <c r="P14">
        <v>2547</v>
      </c>
      <c r="Q14" s="31" t="s">
        <v>61</v>
      </c>
      <c r="R14" s="29">
        <v>-2.67022696929239E-2</v>
      </c>
      <c r="S14" s="29">
        <v>-9.8972211648267992E-3</v>
      </c>
      <c r="T14" s="29">
        <v>-9.9067799525299188E-3</v>
      </c>
      <c r="U14" s="29"/>
      <c r="V14" s="29">
        <v>-4.6506270810280623E-2</v>
      </c>
    </row>
    <row r="15" spans="1:22" x14ac:dyDescent="0.3">
      <c r="A15" s="27">
        <v>45040</v>
      </c>
      <c r="B15" s="7">
        <v>2381</v>
      </c>
      <c r="C15" s="28">
        <v>-6.4999999999999997E-3</v>
      </c>
      <c r="E15" s="31" t="s">
        <v>62</v>
      </c>
      <c r="F15" s="29">
        <v>8.5599999999999996E-2</v>
      </c>
      <c r="G15" s="29">
        <v>-1.6E-2</v>
      </c>
      <c r="H15" s="29">
        <v>4.2299999999999997E-2</v>
      </c>
      <c r="I15" s="29"/>
      <c r="J15" s="29">
        <v>0.1119</v>
      </c>
      <c r="L15" s="42">
        <v>45443</v>
      </c>
      <c r="M15" s="46">
        <v>45413</v>
      </c>
      <c r="N15" s="43">
        <v>2672</v>
      </c>
      <c r="O15" s="44">
        <v>3.8880248833592534E-2</v>
      </c>
      <c r="P15">
        <v>2547</v>
      </c>
      <c r="Q15" s="31" t="s">
        <v>62</v>
      </c>
      <c r="R15" s="29">
        <v>9.0077732053040691E-2</v>
      </c>
      <c r="S15" s="29">
        <v>-1.8069973087274125E-2</v>
      </c>
      <c r="T15" s="29">
        <v>4.1448076989889768E-2</v>
      </c>
      <c r="U15" s="29"/>
      <c r="V15" s="29">
        <v>0.11345583595565634</v>
      </c>
    </row>
    <row r="16" spans="1:22" x14ac:dyDescent="0.3">
      <c r="A16" s="27">
        <v>45041</v>
      </c>
      <c r="B16" s="7">
        <v>2335.5</v>
      </c>
      <c r="C16" s="28">
        <v>-1.9099999999999999E-2</v>
      </c>
      <c r="E16" s="31" t="s">
        <v>88</v>
      </c>
      <c r="F16" s="29">
        <v>7.9999999999993965E-4</v>
      </c>
      <c r="G16" s="29">
        <v>8.8199999999999973E-2</v>
      </c>
      <c r="H16" s="29">
        <v>0.17139999999999997</v>
      </c>
      <c r="I16" s="29">
        <v>0.14379999999999996</v>
      </c>
      <c r="J16" s="29">
        <v>0.40419999999999989</v>
      </c>
      <c r="L16" s="45">
        <v>45473</v>
      </c>
      <c r="M16" s="46">
        <v>45444</v>
      </c>
      <c r="N16" s="47">
        <v>2535</v>
      </c>
      <c r="O16" s="44">
        <v>-5.1272455089820361E-2</v>
      </c>
      <c r="P16">
        <v>2547</v>
      </c>
      <c r="Q16" s="31" t="s">
        <v>88</v>
      </c>
      <c r="R16" s="29">
        <v>-9.907426159576585E-3</v>
      </c>
      <c r="S16" s="29">
        <v>8.5713639368915115E-2</v>
      </c>
      <c r="T16" s="29">
        <v>0.16932329766604082</v>
      </c>
      <c r="U16" s="29">
        <v>0.14246759028125555</v>
      </c>
      <c r="V16" s="29">
        <v>0.38759710115663487</v>
      </c>
    </row>
    <row r="17" spans="1:16" x14ac:dyDescent="0.3">
      <c r="A17" s="27">
        <v>45042</v>
      </c>
      <c r="B17" s="7">
        <v>2327</v>
      </c>
      <c r="C17" s="28">
        <v>-3.5999999999999999E-3</v>
      </c>
      <c r="L17" s="42">
        <v>45504</v>
      </c>
      <c r="M17" s="46">
        <v>45474</v>
      </c>
      <c r="N17" s="43">
        <v>2317</v>
      </c>
      <c r="O17" s="44">
        <v>-8.5996055226824464E-2</v>
      </c>
      <c r="P17">
        <v>2547</v>
      </c>
    </row>
    <row r="18" spans="1:16" x14ac:dyDescent="0.3">
      <c r="A18" s="27">
        <v>45043</v>
      </c>
      <c r="B18" s="7">
        <v>2319</v>
      </c>
      <c r="C18" s="28">
        <v>-3.3999999999999998E-3</v>
      </c>
      <c r="L18" s="45">
        <v>45535</v>
      </c>
      <c r="M18" s="46">
        <v>45505</v>
      </c>
      <c r="N18" s="47">
        <v>2454</v>
      </c>
      <c r="O18" s="44">
        <v>5.9128182995252479E-2</v>
      </c>
      <c r="P18">
        <v>2547</v>
      </c>
    </row>
    <row r="19" spans="1:16" x14ac:dyDescent="0.3">
      <c r="A19" s="27">
        <v>45044</v>
      </c>
      <c r="B19" s="7">
        <v>2356</v>
      </c>
      <c r="C19" s="28">
        <v>1.6E-2</v>
      </c>
      <c r="L19" s="42">
        <v>45565</v>
      </c>
      <c r="M19" s="46">
        <v>45536</v>
      </c>
      <c r="N19" s="43">
        <v>2600</v>
      </c>
      <c r="O19" s="44">
        <v>5.9494702526487364E-2</v>
      </c>
      <c r="P19">
        <v>2547</v>
      </c>
    </row>
    <row r="20" spans="1:16" x14ac:dyDescent="0.3">
      <c r="A20" s="27">
        <v>45048</v>
      </c>
      <c r="B20" s="7">
        <v>2366.5</v>
      </c>
      <c r="C20" s="28">
        <v>4.4999999999999997E-3</v>
      </c>
      <c r="L20" s="45">
        <v>45596</v>
      </c>
      <c r="M20" s="46">
        <v>45566</v>
      </c>
      <c r="N20" s="47">
        <v>2627</v>
      </c>
      <c r="O20" s="44">
        <v>1.0384615384615384E-2</v>
      </c>
      <c r="P20">
        <v>2547</v>
      </c>
    </row>
    <row r="21" spans="1:16" x14ac:dyDescent="0.3">
      <c r="A21" s="27">
        <v>45049</v>
      </c>
      <c r="B21" s="7">
        <v>2321</v>
      </c>
      <c r="C21" s="28">
        <v>-1.9199999999999998E-2</v>
      </c>
      <c r="L21" s="42">
        <v>45626</v>
      </c>
      <c r="M21" s="46">
        <v>45597</v>
      </c>
      <c r="N21" s="43">
        <v>2601</v>
      </c>
      <c r="O21" s="44">
        <v>-9.8972211648267992E-3</v>
      </c>
      <c r="P21">
        <v>2547</v>
      </c>
    </row>
    <row r="22" spans="1:16" x14ac:dyDescent="0.3">
      <c r="A22" s="27">
        <v>45050</v>
      </c>
      <c r="B22" s="7">
        <v>2287</v>
      </c>
      <c r="C22" s="28">
        <v>-1.46E-2</v>
      </c>
      <c r="L22" s="45">
        <v>45657</v>
      </c>
      <c r="M22" s="46">
        <v>45627</v>
      </c>
      <c r="N22" s="47">
        <v>2554</v>
      </c>
      <c r="O22" s="44">
        <v>-1.8069973087274125E-2</v>
      </c>
      <c r="P22">
        <v>2547</v>
      </c>
    </row>
    <row r="23" spans="1:16" x14ac:dyDescent="0.3">
      <c r="A23" s="27">
        <v>45051</v>
      </c>
      <c r="B23" s="7">
        <v>2318.5</v>
      </c>
      <c r="C23" s="28">
        <v>1.38E-2</v>
      </c>
      <c r="L23" s="42">
        <v>45688</v>
      </c>
      <c r="M23" s="46">
        <v>45658</v>
      </c>
      <c r="N23" s="43">
        <v>2576.3000000000002</v>
      </c>
      <c r="O23" s="44">
        <v>8.7314017227878554E-3</v>
      </c>
      <c r="P23">
        <v>2547</v>
      </c>
    </row>
    <row r="24" spans="1:16" x14ac:dyDescent="0.3">
      <c r="A24" s="27">
        <v>45055</v>
      </c>
      <c r="B24" s="7">
        <v>2320</v>
      </c>
      <c r="C24" s="28">
        <v>5.9999999999999995E-4</v>
      </c>
      <c r="L24" s="45">
        <v>45716</v>
      </c>
      <c r="M24" s="46">
        <v>45689</v>
      </c>
      <c r="N24" s="47">
        <v>2606.6999999999998</v>
      </c>
      <c r="O24" s="44">
        <v>1.1799868027791652E-2</v>
      </c>
      <c r="P24">
        <v>2547</v>
      </c>
    </row>
    <row r="25" spans="1:16" x14ac:dyDescent="0.3">
      <c r="A25" s="27">
        <v>45056</v>
      </c>
      <c r="B25" s="7">
        <v>2268</v>
      </c>
      <c r="C25" s="28">
        <v>-2.24E-2</v>
      </c>
      <c r="L25" s="42">
        <v>45747</v>
      </c>
      <c r="M25" s="46">
        <v>45717</v>
      </c>
      <c r="N25" s="43">
        <v>2538.8000000000002</v>
      </c>
      <c r="O25" s="44">
        <v>-2.6048260252426302E-2</v>
      </c>
      <c r="P25">
        <v>2547</v>
      </c>
    </row>
    <row r="26" spans="1:16" x14ac:dyDescent="0.3">
      <c r="A26" s="27">
        <v>45057</v>
      </c>
      <c r="B26" s="7">
        <v>2211</v>
      </c>
      <c r="C26" s="28">
        <v>-2.5100000000000001E-2</v>
      </c>
      <c r="L26" s="45">
        <v>45777</v>
      </c>
      <c r="M26" s="46">
        <v>45748</v>
      </c>
      <c r="N26" s="47">
        <v>2399.5500000000002</v>
      </c>
      <c r="O26" s="44">
        <v>-5.4848747439735307E-2</v>
      </c>
      <c r="P26">
        <v>2547</v>
      </c>
    </row>
    <row r="27" spans="1:16" x14ac:dyDescent="0.3">
      <c r="A27" s="27">
        <v>45058</v>
      </c>
      <c r="B27" s="7">
        <v>2231.5</v>
      </c>
      <c r="C27" s="28">
        <v>9.2999999999999992E-3</v>
      </c>
      <c r="L27" s="42">
        <v>45808</v>
      </c>
      <c r="M27" s="46">
        <v>45778</v>
      </c>
      <c r="N27" s="43">
        <v>2432.6</v>
      </c>
      <c r="O27" s="44">
        <v>1.3773415848804869E-2</v>
      </c>
      <c r="P27">
        <v>2547</v>
      </c>
    </row>
    <row r="28" spans="1:16" x14ac:dyDescent="0.3">
      <c r="A28" s="27">
        <v>45061</v>
      </c>
      <c r="B28" s="7">
        <v>2259.5</v>
      </c>
      <c r="C28" s="28">
        <v>1.2500000000000001E-2</v>
      </c>
      <c r="L28" s="45">
        <v>45838</v>
      </c>
      <c r="M28" s="46">
        <v>45809</v>
      </c>
      <c r="N28" s="47">
        <v>2607.1</v>
      </c>
      <c r="O28" s="44">
        <v>7.1733947216969504E-2</v>
      </c>
      <c r="P28">
        <v>2547</v>
      </c>
    </row>
    <row r="29" spans="1:16" x14ac:dyDescent="0.3">
      <c r="A29" s="27">
        <v>45062</v>
      </c>
      <c r="B29" s="7">
        <v>2259.5</v>
      </c>
      <c r="C29" s="28">
        <v>0</v>
      </c>
      <c r="L29" s="42">
        <v>45869</v>
      </c>
      <c r="M29" s="46">
        <v>45839</v>
      </c>
      <c r="N29" s="43">
        <v>2571.4</v>
      </c>
      <c r="O29" s="44">
        <v>-1.3693375781519627E-2</v>
      </c>
      <c r="P29">
        <v>2547</v>
      </c>
    </row>
    <row r="30" spans="1:16" x14ac:dyDescent="0.3">
      <c r="A30" s="27">
        <v>45063</v>
      </c>
      <c r="B30" s="7">
        <v>2296.5</v>
      </c>
      <c r="C30" s="28">
        <v>1.6400000000000001E-2</v>
      </c>
      <c r="L30" s="45">
        <v>45900</v>
      </c>
      <c r="M30" s="46">
        <v>45870</v>
      </c>
      <c r="N30" s="47">
        <v>2610.8000000000002</v>
      </c>
      <c r="O30" s="44">
        <v>1.532239247102749E-2</v>
      </c>
      <c r="P30">
        <v>2547</v>
      </c>
    </row>
    <row r="31" spans="1:16" x14ac:dyDescent="0.3">
      <c r="A31" s="27">
        <v>45064</v>
      </c>
      <c r="B31" s="7">
        <v>2283.5</v>
      </c>
      <c r="C31" s="28">
        <v>-5.7000000000000002E-3</v>
      </c>
      <c r="L31" s="42">
        <v>45930</v>
      </c>
      <c r="M31" s="46">
        <v>45901</v>
      </c>
      <c r="N31" s="43">
        <v>2691.65</v>
      </c>
      <c r="O31" s="44">
        <v>3.096751953424234E-2</v>
      </c>
      <c r="P31">
        <v>2547</v>
      </c>
    </row>
    <row r="32" spans="1:16" x14ac:dyDescent="0.3">
      <c r="A32" s="27">
        <v>45065</v>
      </c>
      <c r="B32" s="7">
        <v>2283.5</v>
      </c>
      <c r="C32" s="28">
        <v>0</v>
      </c>
      <c r="L32" s="45">
        <v>45961</v>
      </c>
      <c r="M32" s="46">
        <v>45931</v>
      </c>
      <c r="N32" s="47">
        <v>2907.1</v>
      </c>
      <c r="O32" s="44">
        <v>8.0043839280738507E-2</v>
      </c>
      <c r="P32">
        <v>2547</v>
      </c>
    </row>
    <row r="33" spans="1:16" x14ac:dyDescent="0.3">
      <c r="A33" s="27">
        <v>45068</v>
      </c>
      <c r="B33" s="7">
        <v>2263.5</v>
      </c>
      <c r="C33" s="28">
        <v>-8.8000000000000005E-3</v>
      </c>
      <c r="L33" s="42">
        <v>45991</v>
      </c>
      <c r="M33" s="46">
        <v>45962</v>
      </c>
      <c r="N33" s="43">
        <v>2878.3</v>
      </c>
      <c r="O33" s="44">
        <v>-9.9067799525299188E-3</v>
      </c>
      <c r="P33">
        <v>2547</v>
      </c>
    </row>
    <row r="34" spans="1:16" x14ac:dyDescent="0.3">
      <c r="A34" s="27">
        <v>45069</v>
      </c>
      <c r="B34" s="7">
        <v>2227</v>
      </c>
      <c r="C34" s="28">
        <v>-1.61E-2</v>
      </c>
      <c r="L34" s="45">
        <v>46022</v>
      </c>
      <c r="M34" s="46">
        <v>45992</v>
      </c>
      <c r="N34" s="47">
        <v>2997.6</v>
      </c>
      <c r="O34" s="44">
        <v>4.1448076989889768E-2</v>
      </c>
      <c r="P34">
        <v>2547</v>
      </c>
    </row>
    <row r="35" spans="1:16" x14ac:dyDescent="0.3">
      <c r="A35" s="27">
        <v>45070</v>
      </c>
      <c r="B35" s="7">
        <v>2205</v>
      </c>
      <c r="C35" s="28">
        <v>-9.9000000000000008E-3</v>
      </c>
      <c r="L35" s="42">
        <v>46053</v>
      </c>
      <c r="M35" s="46">
        <v>46023</v>
      </c>
      <c r="N35" s="43">
        <v>3030.75</v>
      </c>
      <c r="O35" s="44">
        <v>1.105884707766216E-2</v>
      </c>
      <c r="P35">
        <v>2547</v>
      </c>
    </row>
    <row r="36" spans="1:16" x14ac:dyDescent="0.3">
      <c r="A36" s="27">
        <v>45071</v>
      </c>
      <c r="B36" s="7">
        <v>2231</v>
      </c>
      <c r="C36" s="28">
        <v>1.18E-2</v>
      </c>
      <c r="L36" s="45">
        <v>46081</v>
      </c>
      <c r="M36" s="46">
        <v>46054</v>
      </c>
      <c r="N36" s="47">
        <v>3228.15</v>
      </c>
      <c r="O36" s="44">
        <v>6.5132392972036657E-2</v>
      </c>
      <c r="P36">
        <v>2547</v>
      </c>
    </row>
    <row r="37" spans="1:16" x14ac:dyDescent="0.3">
      <c r="A37" s="27">
        <v>45072</v>
      </c>
      <c r="B37" s="7">
        <v>2237.5</v>
      </c>
      <c r="C37" s="28">
        <v>2.8999999999999998E-3</v>
      </c>
      <c r="L37" s="42">
        <v>46112</v>
      </c>
      <c r="M37" s="46">
        <v>46082</v>
      </c>
      <c r="N37" s="43">
        <v>3442.1</v>
      </c>
      <c r="O37" s="44">
        <v>6.6276350231556716E-2</v>
      </c>
      <c r="P37">
        <v>2547</v>
      </c>
    </row>
    <row r="38" spans="1:16" x14ac:dyDescent="0.3">
      <c r="A38" s="27">
        <v>45076</v>
      </c>
      <c r="B38" s="7">
        <v>2224</v>
      </c>
      <c r="C38" s="28">
        <v>-6.0000000000000001E-3</v>
      </c>
    </row>
    <row r="39" spans="1:16" x14ac:dyDescent="0.3">
      <c r="A39" s="27">
        <v>45077</v>
      </c>
      <c r="B39" s="7">
        <v>2246</v>
      </c>
      <c r="C39" s="28">
        <v>9.9000000000000008E-3</v>
      </c>
    </row>
    <row r="40" spans="1:16" x14ac:dyDescent="0.3">
      <c r="A40" s="27">
        <v>45078</v>
      </c>
      <c r="B40" s="7">
        <v>2282.5</v>
      </c>
      <c r="C40" s="28">
        <v>1.6299999999999999E-2</v>
      </c>
    </row>
    <row r="41" spans="1:16" x14ac:dyDescent="0.3">
      <c r="A41" s="27">
        <v>45079</v>
      </c>
      <c r="B41" s="7">
        <v>2263.5</v>
      </c>
      <c r="C41" s="28">
        <v>-8.3000000000000001E-3</v>
      </c>
    </row>
    <row r="42" spans="1:16" x14ac:dyDescent="0.3">
      <c r="A42" s="27">
        <v>45082</v>
      </c>
      <c r="B42" s="7">
        <v>2244</v>
      </c>
      <c r="C42" s="28">
        <v>-8.6E-3</v>
      </c>
    </row>
    <row r="43" spans="1:16" x14ac:dyDescent="0.3">
      <c r="A43" s="27">
        <v>45083</v>
      </c>
      <c r="B43" s="7">
        <v>2210</v>
      </c>
      <c r="C43" s="28">
        <v>-1.52E-2</v>
      </c>
    </row>
    <row r="44" spans="1:16" x14ac:dyDescent="0.3">
      <c r="A44" s="27">
        <v>45084</v>
      </c>
      <c r="B44" s="7">
        <v>2219</v>
      </c>
      <c r="C44" s="28">
        <v>4.1000000000000003E-3</v>
      </c>
    </row>
    <row r="45" spans="1:16" x14ac:dyDescent="0.3">
      <c r="A45" s="27">
        <v>45085</v>
      </c>
      <c r="B45" s="7">
        <v>2254.5</v>
      </c>
      <c r="C45" s="28">
        <v>1.6E-2</v>
      </c>
    </row>
    <row r="46" spans="1:16" x14ac:dyDescent="0.3">
      <c r="A46" s="27">
        <v>45086</v>
      </c>
      <c r="B46" s="7">
        <v>2268</v>
      </c>
      <c r="C46" s="28">
        <v>6.0000000000000001E-3</v>
      </c>
    </row>
    <row r="47" spans="1:16" x14ac:dyDescent="0.3">
      <c r="A47" s="27">
        <v>45089</v>
      </c>
      <c r="B47" s="7">
        <v>2228</v>
      </c>
      <c r="C47" s="28">
        <v>-1.7600000000000001E-2</v>
      </c>
    </row>
    <row r="48" spans="1:16" x14ac:dyDescent="0.3">
      <c r="A48" s="27">
        <v>45090</v>
      </c>
      <c r="B48" s="7">
        <v>2232</v>
      </c>
      <c r="C48" s="28">
        <v>1.8E-3</v>
      </c>
    </row>
    <row r="49" spans="1:3" x14ac:dyDescent="0.3">
      <c r="A49" s="27">
        <v>45091</v>
      </c>
      <c r="B49" s="7">
        <v>2253.5</v>
      </c>
      <c r="C49" s="28">
        <v>9.5999999999999992E-3</v>
      </c>
    </row>
    <row r="50" spans="1:3" x14ac:dyDescent="0.3">
      <c r="A50" s="27">
        <v>45092</v>
      </c>
      <c r="B50" s="7">
        <v>2249.5</v>
      </c>
      <c r="C50" s="28">
        <v>-1.8E-3</v>
      </c>
    </row>
    <row r="51" spans="1:3" x14ac:dyDescent="0.3">
      <c r="A51" s="27">
        <v>45093</v>
      </c>
      <c r="B51" s="7">
        <v>2271</v>
      </c>
      <c r="C51" s="28">
        <v>9.5999999999999992E-3</v>
      </c>
    </row>
    <row r="52" spans="1:3" x14ac:dyDescent="0.3">
      <c r="A52" s="27">
        <v>45096</v>
      </c>
      <c r="B52" s="7">
        <v>2241</v>
      </c>
      <c r="C52" s="28">
        <v>-1.32E-2</v>
      </c>
    </row>
    <row r="53" spans="1:3" x14ac:dyDescent="0.3">
      <c r="A53" s="27">
        <v>45097</v>
      </c>
      <c r="B53" s="7">
        <v>2230</v>
      </c>
      <c r="C53" s="28">
        <v>-4.8999999999999998E-3</v>
      </c>
    </row>
    <row r="54" spans="1:3" x14ac:dyDescent="0.3">
      <c r="A54" s="27">
        <v>45098</v>
      </c>
      <c r="B54" s="7">
        <v>2223</v>
      </c>
      <c r="C54" s="28">
        <v>-3.0999999999999999E-3</v>
      </c>
    </row>
    <row r="55" spans="1:3" x14ac:dyDescent="0.3">
      <c r="A55" s="27">
        <v>45099</v>
      </c>
      <c r="B55" s="7">
        <v>2201</v>
      </c>
      <c r="C55" s="28">
        <v>-9.9000000000000008E-3</v>
      </c>
    </row>
    <row r="56" spans="1:3" x14ac:dyDescent="0.3">
      <c r="A56" s="27">
        <v>45100</v>
      </c>
      <c r="B56" s="7">
        <v>2174.5</v>
      </c>
      <c r="C56" s="28">
        <v>-1.2E-2</v>
      </c>
    </row>
    <row r="57" spans="1:3" x14ac:dyDescent="0.3">
      <c r="A57" s="27">
        <v>45103</v>
      </c>
      <c r="B57" s="7">
        <v>2148.5</v>
      </c>
      <c r="C57" s="28">
        <v>-1.2E-2</v>
      </c>
    </row>
    <row r="58" spans="1:3" x14ac:dyDescent="0.3">
      <c r="A58" s="27">
        <v>45104</v>
      </c>
      <c r="B58" s="7">
        <v>2195</v>
      </c>
      <c r="C58" s="28">
        <v>2.1600000000000001E-2</v>
      </c>
    </row>
    <row r="59" spans="1:3" x14ac:dyDescent="0.3">
      <c r="A59" s="27">
        <v>45105</v>
      </c>
      <c r="B59" s="7">
        <v>2173.5</v>
      </c>
      <c r="C59" s="28">
        <v>-9.7999999999999997E-3</v>
      </c>
    </row>
    <row r="60" spans="1:3" x14ac:dyDescent="0.3">
      <c r="A60" s="27">
        <v>45106</v>
      </c>
      <c r="B60" s="7">
        <v>2160</v>
      </c>
      <c r="C60" s="28">
        <v>-6.1999999999999998E-3</v>
      </c>
    </row>
    <row r="61" spans="1:3" x14ac:dyDescent="0.3">
      <c r="A61" s="27">
        <v>45107</v>
      </c>
      <c r="B61" s="7">
        <v>2151.5</v>
      </c>
      <c r="C61" s="28">
        <v>-3.8999999999999998E-3</v>
      </c>
    </row>
    <row r="62" spans="1:3" x14ac:dyDescent="0.3">
      <c r="A62" s="27">
        <v>45110</v>
      </c>
      <c r="B62" s="7">
        <v>2157.5</v>
      </c>
      <c r="C62" s="28">
        <v>2.8E-3</v>
      </c>
    </row>
    <row r="63" spans="1:3" x14ac:dyDescent="0.3">
      <c r="A63" s="27">
        <v>45111</v>
      </c>
      <c r="B63" s="7">
        <v>2167.5</v>
      </c>
      <c r="C63" s="28">
        <v>4.5999999999999999E-3</v>
      </c>
    </row>
    <row r="64" spans="1:3" x14ac:dyDescent="0.3">
      <c r="A64" s="27">
        <v>45112</v>
      </c>
      <c r="B64" s="7">
        <v>2142.5</v>
      </c>
      <c r="C64" s="28">
        <v>-1.15E-2</v>
      </c>
    </row>
    <row r="65" spans="1:3" x14ac:dyDescent="0.3">
      <c r="A65" s="27">
        <v>45113</v>
      </c>
      <c r="B65" s="7">
        <v>2129</v>
      </c>
      <c r="C65" s="28">
        <v>-6.3E-3</v>
      </c>
    </row>
    <row r="66" spans="1:3" x14ac:dyDescent="0.3">
      <c r="A66" s="27">
        <v>45114</v>
      </c>
      <c r="B66" s="7">
        <v>2145.5</v>
      </c>
      <c r="C66" s="28">
        <v>7.7999999999999996E-3</v>
      </c>
    </row>
    <row r="67" spans="1:3" x14ac:dyDescent="0.3">
      <c r="A67" s="27">
        <v>45117</v>
      </c>
      <c r="B67" s="7">
        <v>2147</v>
      </c>
      <c r="C67" s="28">
        <v>6.9999999999999999E-4</v>
      </c>
    </row>
    <row r="68" spans="1:3" x14ac:dyDescent="0.3">
      <c r="A68" s="27">
        <v>45118</v>
      </c>
      <c r="B68" s="7">
        <v>2168.5</v>
      </c>
      <c r="C68" s="28">
        <v>0.01</v>
      </c>
    </row>
    <row r="69" spans="1:3" x14ac:dyDescent="0.3">
      <c r="A69" s="27">
        <v>45119</v>
      </c>
      <c r="B69" s="7">
        <v>2236</v>
      </c>
      <c r="C69" s="28">
        <v>3.1099999999999999E-2</v>
      </c>
    </row>
    <row r="70" spans="1:3" x14ac:dyDescent="0.3">
      <c r="A70" s="27">
        <v>45120</v>
      </c>
      <c r="B70" s="7">
        <v>2278</v>
      </c>
      <c r="C70" s="28">
        <v>1.8800000000000001E-2</v>
      </c>
    </row>
    <row r="71" spans="1:3" x14ac:dyDescent="0.3">
      <c r="A71" s="27">
        <v>45121</v>
      </c>
      <c r="B71" s="7">
        <v>2276.5</v>
      </c>
      <c r="C71" s="28">
        <v>-6.9999999999999999E-4</v>
      </c>
    </row>
    <row r="72" spans="1:3" x14ac:dyDescent="0.3">
      <c r="A72" s="27">
        <v>45124</v>
      </c>
      <c r="B72" s="7">
        <v>2255</v>
      </c>
      <c r="C72" s="28">
        <v>-9.4000000000000004E-3</v>
      </c>
    </row>
    <row r="73" spans="1:3" x14ac:dyDescent="0.3">
      <c r="A73" s="27">
        <v>45125</v>
      </c>
      <c r="B73" s="7">
        <v>2203.5</v>
      </c>
      <c r="C73" s="28">
        <v>-2.2800000000000001E-2</v>
      </c>
    </row>
    <row r="74" spans="1:3" x14ac:dyDescent="0.3">
      <c r="A74" s="27">
        <v>45126</v>
      </c>
      <c r="B74" s="7">
        <v>2190.5</v>
      </c>
      <c r="C74" s="28">
        <v>-5.8999999999999999E-3</v>
      </c>
    </row>
    <row r="75" spans="1:3" x14ac:dyDescent="0.3">
      <c r="A75" s="27">
        <v>45127</v>
      </c>
      <c r="B75" s="7">
        <v>2201</v>
      </c>
      <c r="C75" s="28">
        <v>4.7999999999999996E-3</v>
      </c>
    </row>
    <row r="76" spans="1:3" x14ac:dyDescent="0.3">
      <c r="A76" s="27">
        <v>45128</v>
      </c>
      <c r="B76" s="7">
        <v>2204.5</v>
      </c>
      <c r="C76" s="28">
        <v>1.6000000000000001E-3</v>
      </c>
    </row>
    <row r="77" spans="1:3" x14ac:dyDescent="0.3">
      <c r="A77" s="27">
        <v>45131</v>
      </c>
      <c r="B77" s="7">
        <v>2209</v>
      </c>
      <c r="C77" s="28">
        <v>2E-3</v>
      </c>
    </row>
    <row r="78" spans="1:3" x14ac:dyDescent="0.3">
      <c r="A78" s="27">
        <v>45132</v>
      </c>
      <c r="B78" s="7">
        <v>2240</v>
      </c>
      <c r="C78" s="28">
        <v>1.4E-2</v>
      </c>
    </row>
    <row r="79" spans="1:3" x14ac:dyDescent="0.3">
      <c r="A79" s="27">
        <v>45133</v>
      </c>
      <c r="B79" s="7">
        <v>2213</v>
      </c>
      <c r="C79" s="28">
        <v>-1.21E-2</v>
      </c>
    </row>
    <row r="80" spans="1:3" x14ac:dyDescent="0.3">
      <c r="A80" s="27">
        <v>45134</v>
      </c>
      <c r="B80" s="7">
        <v>2205</v>
      </c>
      <c r="C80" s="28">
        <v>-3.5999999999999999E-3</v>
      </c>
    </row>
    <row r="81" spans="1:3" x14ac:dyDescent="0.3">
      <c r="A81" s="27">
        <v>45135</v>
      </c>
      <c r="B81" s="7">
        <v>2222</v>
      </c>
      <c r="C81" s="28">
        <v>7.7000000000000002E-3</v>
      </c>
    </row>
    <row r="82" spans="1:3" x14ac:dyDescent="0.3">
      <c r="A82" s="27">
        <v>45138</v>
      </c>
      <c r="B82" s="7">
        <v>2282.5</v>
      </c>
      <c r="C82" s="28">
        <v>2.7199999999999998E-2</v>
      </c>
    </row>
    <row r="83" spans="1:3" x14ac:dyDescent="0.3">
      <c r="A83" s="27">
        <v>45139</v>
      </c>
      <c r="B83" s="7">
        <v>2255.5</v>
      </c>
      <c r="C83" s="28">
        <v>-1.18E-2</v>
      </c>
    </row>
    <row r="84" spans="1:3" x14ac:dyDescent="0.3">
      <c r="A84" s="27">
        <v>45140</v>
      </c>
      <c r="B84" s="7">
        <v>2209</v>
      </c>
      <c r="C84" s="28">
        <v>-2.06E-2</v>
      </c>
    </row>
    <row r="85" spans="1:3" x14ac:dyDescent="0.3">
      <c r="A85" s="27">
        <v>45141</v>
      </c>
      <c r="B85" s="7">
        <v>2230</v>
      </c>
      <c r="C85" s="28">
        <v>9.4999999999999998E-3</v>
      </c>
    </row>
    <row r="86" spans="1:3" x14ac:dyDescent="0.3">
      <c r="A86" s="27">
        <v>45142</v>
      </c>
      <c r="B86" s="7">
        <v>2232.5</v>
      </c>
      <c r="C86" s="28">
        <v>1.1000000000000001E-3</v>
      </c>
    </row>
    <row r="87" spans="1:3" x14ac:dyDescent="0.3">
      <c r="A87" s="27">
        <v>45145</v>
      </c>
      <c r="B87" s="7">
        <v>2230</v>
      </c>
      <c r="C87" s="28">
        <v>-1.1000000000000001E-3</v>
      </c>
    </row>
    <row r="88" spans="1:3" x14ac:dyDescent="0.3">
      <c r="A88" s="27">
        <v>45146</v>
      </c>
      <c r="B88" s="7">
        <v>2200.5</v>
      </c>
      <c r="C88" s="28">
        <v>-1.32E-2</v>
      </c>
    </row>
    <row r="89" spans="1:3" x14ac:dyDescent="0.3">
      <c r="A89" s="27">
        <v>45147</v>
      </c>
      <c r="B89" s="7">
        <v>2195</v>
      </c>
      <c r="C89" s="28">
        <v>-2.5000000000000001E-3</v>
      </c>
    </row>
    <row r="90" spans="1:3" x14ac:dyDescent="0.3">
      <c r="A90" s="27">
        <v>45148</v>
      </c>
      <c r="B90" s="7">
        <v>2204</v>
      </c>
      <c r="C90" s="28">
        <v>4.1000000000000003E-3</v>
      </c>
    </row>
    <row r="91" spans="1:3" x14ac:dyDescent="0.3">
      <c r="A91" s="27">
        <v>45149</v>
      </c>
      <c r="B91" s="7">
        <v>2175.5</v>
      </c>
      <c r="C91" s="28">
        <v>-1.29E-2</v>
      </c>
    </row>
    <row r="92" spans="1:3" x14ac:dyDescent="0.3">
      <c r="A92" s="27">
        <v>45152</v>
      </c>
      <c r="B92" s="7">
        <v>2146</v>
      </c>
      <c r="C92" s="28">
        <v>-1.3599999999999999E-2</v>
      </c>
    </row>
    <row r="93" spans="1:3" x14ac:dyDescent="0.3">
      <c r="A93" s="27">
        <v>45153</v>
      </c>
      <c r="B93" s="7">
        <v>2142.5</v>
      </c>
      <c r="C93" s="28">
        <v>-1.6000000000000001E-3</v>
      </c>
    </row>
    <row r="94" spans="1:3" x14ac:dyDescent="0.3">
      <c r="A94" s="27">
        <v>45154</v>
      </c>
      <c r="B94" s="7">
        <v>2143</v>
      </c>
      <c r="C94" s="28">
        <v>2.0000000000000001E-4</v>
      </c>
    </row>
    <row r="95" spans="1:3" x14ac:dyDescent="0.3">
      <c r="A95" s="27">
        <v>45155</v>
      </c>
      <c r="B95" s="7">
        <v>2145.5</v>
      </c>
      <c r="C95" s="28">
        <v>1.1999999999999999E-3</v>
      </c>
    </row>
    <row r="96" spans="1:3" x14ac:dyDescent="0.3">
      <c r="A96" s="27">
        <v>45156</v>
      </c>
      <c r="B96" s="7">
        <v>2137</v>
      </c>
      <c r="C96" s="28">
        <v>-4.0000000000000001E-3</v>
      </c>
    </row>
    <row r="97" spans="1:3" x14ac:dyDescent="0.3">
      <c r="A97" s="27">
        <v>45159</v>
      </c>
      <c r="B97" s="7">
        <v>2144</v>
      </c>
      <c r="C97" s="28">
        <v>3.3E-3</v>
      </c>
    </row>
    <row r="98" spans="1:3" x14ac:dyDescent="0.3">
      <c r="A98" s="27">
        <v>45160</v>
      </c>
      <c r="B98" s="7">
        <v>2177</v>
      </c>
      <c r="C98" s="28">
        <v>1.54E-2</v>
      </c>
    </row>
    <row r="99" spans="1:3" x14ac:dyDescent="0.3">
      <c r="A99" s="27">
        <v>45161</v>
      </c>
      <c r="B99" s="7">
        <v>2179.5</v>
      </c>
      <c r="C99" s="28">
        <v>1.1000000000000001E-3</v>
      </c>
    </row>
    <row r="100" spans="1:3" x14ac:dyDescent="0.3">
      <c r="A100" s="27">
        <v>45162</v>
      </c>
      <c r="B100" s="7">
        <v>2157.5</v>
      </c>
      <c r="C100" s="28">
        <v>-1.01E-2</v>
      </c>
    </row>
    <row r="101" spans="1:3" x14ac:dyDescent="0.3">
      <c r="A101" s="27">
        <v>45163</v>
      </c>
      <c r="B101" s="7">
        <v>2150.5</v>
      </c>
      <c r="C101" s="28">
        <v>-3.2000000000000002E-3</v>
      </c>
    </row>
    <row r="102" spans="1:3" x14ac:dyDescent="0.3">
      <c r="A102" s="27">
        <v>45167</v>
      </c>
      <c r="B102" s="7">
        <v>2168.5</v>
      </c>
      <c r="C102" s="28">
        <v>8.3999999999999995E-3</v>
      </c>
    </row>
    <row r="103" spans="1:3" x14ac:dyDescent="0.3">
      <c r="A103" s="27">
        <v>45168</v>
      </c>
      <c r="B103" s="7">
        <v>2201.5</v>
      </c>
      <c r="C103" s="28">
        <v>1.52E-2</v>
      </c>
    </row>
    <row r="104" spans="1:3" x14ac:dyDescent="0.3">
      <c r="A104" s="27">
        <v>45169</v>
      </c>
      <c r="B104" s="7">
        <v>2208</v>
      </c>
      <c r="C104" s="28">
        <v>3.0000000000000001E-3</v>
      </c>
    </row>
    <row r="105" spans="1:3" x14ac:dyDescent="0.3">
      <c r="A105" s="27">
        <v>45170</v>
      </c>
      <c r="B105" s="7">
        <v>2237</v>
      </c>
      <c r="C105" s="28">
        <v>1.3100000000000001E-2</v>
      </c>
    </row>
    <row r="106" spans="1:3" x14ac:dyDescent="0.3">
      <c r="A106" s="27">
        <v>45173</v>
      </c>
      <c r="B106" s="7">
        <v>2212.5</v>
      </c>
      <c r="C106" s="28">
        <v>-1.0999999999999999E-2</v>
      </c>
    </row>
    <row r="107" spans="1:3" x14ac:dyDescent="0.3">
      <c r="A107" s="27">
        <v>45174</v>
      </c>
      <c r="B107" s="7">
        <v>2193</v>
      </c>
      <c r="C107" s="28">
        <v>-8.8000000000000005E-3</v>
      </c>
    </row>
    <row r="108" spans="1:3" x14ac:dyDescent="0.3">
      <c r="A108" s="27">
        <v>45175</v>
      </c>
      <c r="B108" s="7">
        <v>2193.5</v>
      </c>
      <c r="C108" s="28">
        <v>2.0000000000000001E-4</v>
      </c>
    </row>
    <row r="109" spans="1:3" x14ac:dyDescent="0.3">
      <c r="A109" s="27">
        <v>45176</v>
      </c>
      <c r="B109" s="7">
        <v>2196</v>
      </c>
      <c r="C109" s="28">
        <v>1.1000000000000001E-3</v>
      </c>
    </row>
    <row r="110" spans="1:3" x14ac:dyDescent="0.3">
      <c r="A110" s="27">
        <v>45177</v>
      </c>
      <c r="B110" s="7">
        <v>2183.5</v>
      </c>
      <c r="C110" s="28">
        <v>-5.7000000000000002E-3</v>
      </c>
    </row>
    <row r="111" spans="1:3" x14ac:dyDescent="0.3">
      <c r="A111" s="27">
        <v>45180</v>
      </c>
      <c r="B111" s="7">
        <v>2205.5</v>
      </c>
      <c r="C111" s="28">
        <v>1.01E-2</v>
      </c>
    </row>
    <row r="112" spans="1:3" x14ac:dyDescent="0.3">
      <c r="A112" s="27">
        <v>45181</v>
      </c>
      <c r="B112" s="7">
        <v>2196.5</v>
      </c>
      <c r="C112" s="28">
        <v>-4.1000000000000003E-3</v>
      </c>
    </row>
    <row r="113" spans="1:3" x14ac:dyDescent="0.3">
      <c r="A113" s="27">
        <v>45182</v>
      </c>
      <c r="B113" s="7">
        <v>2217.5</v>
      </c>
      <c r="C113" s="28">
        <v>9.5999999999999992E-3</v>
      </c>
    </row>
    <row r="114" spans="1:3" x14ac:dyDescent="0.3">
      <c r="A114" s="27">
        <v>45183</v>
      </c>
      <c r="B114" s="7">
        <v>2224.5</v>
      </c>
      <c r="C114" s="28">
        <v>3.2000000000000002E-3</v>
      </c>
    </row>
    <row r="115" spans="1:3" x14ac:dyDescent="0.3">
      <c r="A115" s="27">
        <v>45184</v>
      </c>
      <c r="B115" s="7">
        <v>2190</v>
      </c>
      <c r="C115" s="28">
        <v>-1.55E-2</v>
      </c>
    </row>
    <row r="116" spans="1:3" x14ac:dyDescent="0.3">
      <c r="A116" s="27">
        <v>45187</v>
      </c>
      <c r="B116" s="7">
        <v>2220</v>
      </c>
      <c r="C116" s="28">
        <v>1.37E-2</v>
      </c>
    </row>
    <row r="117" spans="1:3" x14ac:dyDescent="0.3">
      <c r="A117" s="27">
        <v>45188</v>
      </c>
      <c r="B117" s="7">
        <v>2215.5</v>
      </c>
      <c r="C117" s="28">
        <v>-2E-3</v>
      </c>
    </row>
    <row r="118" spans="1:3" x14ac:dyDescent="0.3">
      <c r="A118" s="27">
        <v>45189</v>
      </c>
      <c r="B118" s="7">
        <v>2256</v>
      </c>
      <c r="C118" s="28">
        <v>1.83E-2</v>
      </c>
    </row>
    <row r="119" spans="1:3" x14ac:dyDescent="0.3">
      <c r="A119" s="27">
        <v>45190</v>
      </c>
      <c r="B119" s="7">
        <v>2212</v>
      </c>
      <c r="C119" s="28">
        <v>-1.95E-2</v>
      </c>
    </row>
    <row r="120" spans="1:3" x14ac:dyDescent="0.3">
      <c r="A120" s="27">
        <v>45191</v>
      </c>
      <c r="B120" s="7">
        <v>2240.5</v>
      </c>
      <c r="C120" s="28">
        <v>1.29E-2</v>
      </c>
    </row>
    <row r="121" spans="1:3" x14ac:dyDescent="0.3">
      <c r="A121" s="27">
        <v>45194</v>
      </c>
      <c r="B121" s="7">
        <v>2233.5</v>
      </c>
      <c r="C121" s="28">
        <v>-3.0999999999999999E-3</v>
      </c>
    </row>
    <row r="122" spans="1:3" x14ac:dyDescent="0.3">
      <c r="A122" s="27">
        <v>45195</v>
      </c>
      <c r="B122" s="7">
        <v>2243.5</v>
      </c>
      <c r="C122" s="28">
        <v>4.4999999999999997E-3</v>
      </c>
    </row>
    <row r="123" spans="1:3" x14ac:dyDescent="0.3">
      <c r="A123" s="27">
        <v>45196</v>
      </c>
      <c r="B123" s="7">
        <v>2238</v>
      </c>
      <c r="C123" s="28">
        <v>-2.5000000000000001E-3</v>
      </c>
    </row>
    <row r="124" spans="1:3" x14ac:dyDescent="0.3">
      <c r="A124" s="27">
        <v>45197</v>
      </c>
      <c r="B124" s="7">
        <v>2277.5</v>
      </c>
      <c r="C124" s="28">
        <v>1.7600000000000001E-2</v>
      </c>
    </row>
    <row r="125" spans="1:3" x14ac:dyDescent="0.3">
      <c r="A125" s="27">
        <v>45198</v>
      </c>
      <c r="B125" s="7">
        <v>2347</v>
      </c>
      <c r="C125" s="28">
        <v>3.0499999999999999E-2</v>
      </c>
    </row>
    <row r="126" spans="1:3" x14ac:dyDescent="0.3">
      <c r="A126" s="27">
        <v>45201</v>
      </c>
      <c r="B126" s="7">
        <v>2321</v>
      </c>
      <c r="C126" s="28">
        <v>-1.11E-2</v>
      </c>
    </row>
    <row r="127" spans="1:3" x14ac:dyDescent="0.3">
      <c r="A127" s="27">
        <v>45202</v>
      </c>
      <c r="B127" s="7">
        <v>2290</v>
      </c>
      <c r="C127" s="28">
        <v>-1.34E-2</v>
      </c>
    </row>
    <row r="128" spans="1:3" x14ac:dyDescent="0.3">
      <c r="A128" s="27">
        <v>45203</v>
      </c>
      <c r="B128" s="7">
        <v>2246.5</v>
      </c>
      <c r="C128" s="28">
        <v>-1.9E-2</v>
      </c>
    </row>
    <row r="129" spans="1:3" x14ac:dyDescent="0.3">
      <c r="A129" s="27">
        <v>45204</v>
      </c>
      <c r="B129" s="7">
        <v>2232</v>
      </c>
      <c r="C129" s="28">
        <v>-6.4999999999999997E-3</v>
      </c>
    </row>
    <row r="130" spans="1:3" x14ac:dyDescent="0.3">
      <c r="A130" s="27">
        <v>45205</v>
      </c>
      <c r="B130" s="7">
        <v>2239.5</v>
      </c>
      <c r="C130" s="28">
        <v>3.3999999999999998E-3</v>
      </c>
    </row>
    <row r="131" spans="1:3" x14ac:dyDescent="0.3">
      <c r="A131" s="27">
        <v>45208</v>
      </c>
      <c r="B131" s="7">
        <v>2241.5</v>
      </c>
      <c r="C131" s="28">
        <v>8.9999999999999998E-4</v>
      </c>
    </row>
    <row r="132" spans="1:3" x14ac:dyDescent="0.3">
      <c r="A132" s="27">
        <v>45209</v>
      </c>
      <c r="B132" s="7">
        <v>2212.5</v>
      </c>
      <c r="C132" s="28">
        <v>-1.29E-2</v>
      </c>
    </row>
    <row r="133" spans="1:3" x14ac:dyDescent="0.3">
      <c r="A133" s="27">
        <v>45210</v>
      </c>
      <c r="B133" s="7">
        <v>2214</v>
      </c>
      <c r="C133" s="28">
        <v>6.9999999999999999E-4</v>
      </c>
    </row>
    <row r="134" spans="1:3" x14ac:dyDescent="0.3">
      <c r="A134" s="27">
        <v>45211</v>
      </c>
      <c r="B134" s="7">
        <v>2200</v>
      </c>
      <c r="C134" s="28">
        <v>-6.3E-3</v>
      </c>
    </row>
    <row r="135" spans="1:3" x14ac:dyDescent="0.3">
      <c r="A135" s="27">
        <v>45212</v>
      </c>
      <c r="B135" s="7">
        <v>2199.5</v>
      </c>
      <c r="C135" s="28">
        <v>-2.0000000000000001E-4</v>
      </c>
    </row>
    <row r="136" spans="1:3" x14ac:dyDescent="0.3">
      <c r="A136" s="27">
        <v>45215</v>
      </c>
      <c r="B136" s="7">
        <v>2180.5</v>
      </c>
      <c r="C136" s="28">
        <v>-8.6E-3</v>
      </c>
    </row>
    <row r="137" spans="1:3" x14ac:dyDescent="0.3">
      <c r="A137" s="27">
        <v>45216</v>
      </c>
      <c r="B137" s="7">
        <v>2177</v>
      </c>
      <c r="C137" s="28">
        <v>-1.6000000000000001E-3</v>
      </c>
    </row>
    <row r="138" spans="1:3" x14ac:dyDescent="0.3">
      <c r="A138" s="27">
        <v>45217</v>
      </c>
      <c r="B138" s="7">
        <v>2182</v>
      </c>
      <c r="C138" s="28">
        <v>2.3E-3</v>
      </c>
    </row>
    <row r="139" spans="1:3" x14ac:dyDescent="0.3">
      <c r="A139" s="27">
        <v>45218</v>
      </c>
      <c r="B139" s="7">
        <v>2185</v>
      </c>
      <c r="C139" s="28">
        <v>1.4E-3</v>
      </c>
    </row>
    <row r="140" spans="1:3" x14ac:dyDescent="0.3">
      <c r="A140" s="27">
        <v>45219</v>
      </c>
      <c r="B140" s="7">
        <v>2181.5</v>
      </c>
      <c r="C140" s="28">
        <v>-1.6000000000000001E-3</v>
      </c>
    </row>
    <row r="141" spans="1:3" x14ac:dyDescent="0.3">
      <c r="A141" s="27">
        <v>45222</v>
      </c>
      <c r="B141" s="7">
        <v>2176</v>
      </c>
      <c r="C141" s="28">
        <v>-2.5000000000000001E-3</v>
      </c>
    </row>
    <row r="142" spans="1:3" x14ac:dyDescent="0.3">
      <c r="A142" s="27">
        <v>45223</v>
      </c>
      <c r="B142" s="7">
        <v>2191</v>
      </c>
      <c r="C142" s="28">
        <v>6.8999999999999999E-3</v>
      </c>
    </row>
    <row r="143" spans="1:3" x14ac:dyDescent="0.3">
      <c r="A143" s="27">
        <v>45224</v>
      </c>
      <c r="B143" s="7">
        <v>2219</v>
      </c>
      <c r="C143" s="28">
        <v>1.2800000000000001E-2</v>
      </c>
    </row>
    <row r="144" spans="1:3" x14ac:dyDescent="0.3">
      <c r="A144" s="27">
        <v>45225</v>
      </c>
      <c r="B144" s="7">
        <v>2197.5</v>
      </c>
      <c r="C144" s="28">
        <v>-9.7000000000000003E-3</v>
      </c>
    </row>
    <row r="145" spans="1:3" x14ac:dyDescent="0.3">
      <c r="A145" s="27">
        <v>45226</v>
      </c>
      <c r="B145" s="7">
        <v>2220</v>
      </c>
      <c r="C145" s="28">
        <v>1.0200000000000001E-2</v>
      </c>
    </row>
    <row r="146" spans="1:3" x14ac:dyDescent="0.3">
      <c r="A146" s="27">
        <v>45229</v>
      </c>
      <c r="B146" s="7">
        <v>2266.5</v>
      </c>
      <c r="C146" s="28">
        <v>2.0899999999999998E-2</v>
      </c>
    </row>
    <row r="147" spans="1:3" x14ac:dyDescent="0.3">
      <c r="A147" s="27">
        <v>45230</v>
      </c>
      <c r="B147" s="7">
        <v>2251.5</v>
      </c>
      <c r="C147" s="28">
        <v>-6.6E-3</v>
      </c>
    </row>
    <row r="148" spans="1:3" x14ac:dyDescent="0.3">
      <c r="A148" s="27">
        <v>45231</v>
      </c>
      <c r="B148" s="7">
        <v>2236.5</v>
      </c>
      <c r="C148" s="28">
        <v>-6.7000000000000002E-3</v>
      </c>
    </row>
    <row r="149" spans="1:3" x14ac:dyDescent="0.3">
      <c r="A149" s="27">
        <v>45232</v>
      </c>
      <c r="B149" s="7">
        <v>2227.5</v>
      </c>
      <c r="C149" s="28">
        <v>-4.0000000000000001E-3</v>
      </c>
    </row>
    <row r="150" spans="1:3" x14ac:dyDescent="0.3">
      <c r="A150" s="27">
        <v>45233</v>
      </c>
      <c r="B150" s="7">
        <v>2254</v>
      </c>
      <c r="C150" s="28">
        <v>1.1900000000000001E-2</v>
      </c>
    </row>
    <row r="151" spans="1:3" x14ac:dyDescent="0.3">
      <c r="A151" s="27">
        <v>45236</v>
      </c>
      <c r="B151" s="7">
        <v>2287.5</v>
      </c>
      <c r="C151" s="28">
        <v>1.49E-2</v>
      </c>
    </row>
    <row r="152" spans="1:3" x14ac:dyDescent="0.3">
      <c r="A152" s="27">
        <v>45237</v>
      </c>
      <c r="B152" s="7">
        <v>2265</v>
      </c>
      <c r="C152" s="28">
        <v>-9.7999999999999997E-3</v>
      </c>
    </row>
    <row r="153" spans="1:3" x14ac:dyDescent="0.3">
      <c r="A153" s="27">
        <v>45238</v>
      </c>
      <c r="B153" s="7">
        <v>2263.5</v>
      </c>
      <c r="C153" s="28">
        <v>-6.9999999999999999E-4</v>
      </c>
    </row>
    <row r="154" spans="1:3" x14ac:dyDescent="0.3">
      <c r="A154" s="27">
        <v>45239</v>
      </c>
      <c r="B154" s="7">
        <v>2242.5</v>
      </c>
      <c r="C154" s="28">
        <v>-9.2999999999999992E-3</v>
      </c>
    </row>
    <row r="155" spans="1:3" x14ac:dyDescent="0.3">
      <c r="A155" s="27">
        <v>45240</v>
      </c>
      <c r="B155" s="7">
        <v>2215</v>
      </c>
      <c r="C155" s="28">
        <v>-1.23E-2</v>
      </c>
    </row>
    <row r="156" spans="1:3" x14ac:dyDescent="0.3">
      <c r="A156" s="27">
        <v>45243</v>
      </c>
      <c r="B156" s="7">
        <v>2223.5</v>
      </c>
      <c r="C156" s="28">
        <v>3.8E-3</v>
      </c>
    </row>
    <row r="157" spans="1:3" x14ac:dyDescent="0.3">
      <c r="A157" s="27">
        <v>45244</v>
      </c>
      <c r="B157" s="7">
        <v>2231</v>
      </c>
      <c r="C157" s="28">
        <v>3.3999999999999998E-3</v>
      </c>
    </row>
    <row r="158" spans="1:3" x14ac:dyDescent="0.3">
      <c r="A158" s="27">
        <v>45245</v>
      </c>
      <c r="B158" s="7">
        <v>2232.5</v>
      </c>
      <c r="C158" s="28">
        <v>6.9999999999999999E-4</v>
      </c>
    </row>
    <row r="159" spans="1:3" x14ac:dyDescent="0.3">
      <c r="A159" s="27">
        <v>45246</v>
      </c>
      <c r="B159" s="7">
        <v>2215.5</v>
      </c>
      <c r="C159" s="28">
        <v>-7.6E-3</v>
      </c>
    </row>
    <row r="160" spans="1:3" x14ac:dyDescent="0.3">
      <c r="A160" s="27">
        <v>45247</v>
      </c>
      <c r="B160" s="7">
        <v>2207</v>
      </c>
      <c r="C160" s="28">
        <v>-3.8E-3</v>
      </c>
    </row>
    <row r="161" spans="1:3" x14ac:dyDescent="0.3">
      <c r="A161" s="27">
        <v>45250</v>
      </c>
      <c r="B161" s="7">
        <v>2245.5</v>
      </c>
      <c r="C161" s="28">
        <v>1.7399999999999999E-2</v>
      </c>
    </row>
    <row r="162" spans="1:3" x14ac:dyDescent="0.3">
      <c r="A162" s="27">
        <v>45251</v>
      </c>
      <c r="B162" s="7">
        <v>2258.5</v>
      </c>
      <c r="C162" s="28">
        <v>5.7999999999999996E-3</v>
      </c>
    </row>
    <row r="163" spans="1:3" x14ac:dyDescent="0.3">
      <c r="A163" s="27">
        <v>45252</v>
      </c>
      <c r="B163" s="7">
        <v>2218.5</v>
      </c>
      <c r="C163" s="28">
        <v>-1.77E-2</v>
      </c>
    </row>
    <row r="164" spans="1:3" x14ac:dyDescent="0.3">
      <c r="A164" s="27">
        <v>45253</v>
      </c>
      <c r="B164" s="7">
        <v>2224.5</v>
      </c>
      <c r="C164" s="28">
        <v>2.7000000000000001E-3</v>
      </c>
    </row>
    <row r="165" spans="1:3" x14ac:dyDescent="0.3">
      <c r="A165" s="27">
        <v>45254</v>
      </c>
      <c r="B165" s="7">
        <v>2216</v>
      </c>
      <c r="C165" s="28">
        <v>-3.8E-3</v>
      </c>
    </row>
    <row r="166" spans="1:3" x14ac:dyDescent="0.3">
      <c r="A166" s="27">
        <v>45257</v>
      </c>
      <c r="B166" s="7">
        <v>2210.5</v>
      </c>
      <c r="C166" s="28">
        <v>-2.5000000000000001E-3</v>
      </c>
    </row>
    <row r="167" spans="1:3" x14ac:dyDescent="0.3">
      <c r="A167" s="27">
        <v>45258</v>
      </c>
      <c r="B167" s="7">
        <v>2217</v>
      </c>
      <c r="C167" s="28">
        <v>2.8999999999999998E-3</v>
      </c>
    </row>
    <row r="168" spans="1:3" x14ac:dyDescent="0.3">
      <c r="A168" s="27">
        <v>45259</v>
      </c>
      <c r="B168" s="7">
        <v>2214</v>
      </c>
      <c r="C168" s="28">
        <v>-1.4E-3</v>
      </c>
    </row>
    <row r="169" spans="1:3" x14ac:dyDescent="0.3">
      <c r="A169" s="27">
        <v>45260</v>
      </c>
      <c r="B169" s="7">
        <v>2193</v>
      </c>
      <c r="C169" s="28">
        <v>-9.4999999999999998E-3</v>
      </c>
    </row>
    <row r="170" spans="1:3" x14ac:dyDescent="0.3">
      <c r="A170" s="27">
        <v>45261</v>
      </c>
      <c r="B170" s="7">
        <v>2209</v>
      </c>
      <c r="C170" s="28">
        <v>7.3000000000000001E-3</v>
      </c>
    </row>
    <row r="171" spans="1:3" x14ac:dyDescent="0.3">
      <c r="A171" s="27">
        <v>45264</v>
      </c>
      <c r="B171" s="7">
        <v>2182</v>
      </c>
      <c r="C171" s="28">
        <v>-1.2200000000000001E-2</v>
      </c>
    </row>
    <row r="172" spans="1:3" x14ac:dyDescent="0.3">
      <c r="A172" s="27">
        <v>45265</v>
      </c>
      <c r="B172" s="7">
        <v>2160</v>
      </c>
      <c r="C172" s="28">
        <v>-1.01E-2</v>
      </c>
    </row>
    <row r="173" spans="1:3" x14ac:dyDescent="0.3">
      <c r="A173" s="27">
        <v>45266</v>
      </c>
      <c r="B173" s="7">
        <v>2148.5</v>
      </c>
      <c r="C173" s="28">
        <v>-5.3E-3</v>
      </c>
    </row>
    <row r="174" spans="1:3" x14ac:dyDescent="0.3">
      <c r="A174" s="27">
        <v>45267</v>
      </c>
      <c r="B174" s="7">
        <v>2132.5</v>
      </c>
      <c r="C174" s="28">
        <v>-7.4000000000000003E-3</v>
      </c>
    </row>
    <row r="175" spans="1:3" x14ac:dyDescent="0.3">
      <c r="A175" s="27">
        <v>45268</v>
      </c>
      <c r="B175" s="7">
        <v>2134</v>
      </c>
      <c r="C175" s="28">
        <v>6.9999999999999999E-4</v>
      </c>
    </row>
    <row r="176" spans="1:3" x14ac:dyDescent="0.3">
      <c r="A176" s="27">
        <v>45271</v>
      </c>
      <c r="B176" s="7">
        <v>2117</v>
      </c>
      <c r="C176" s="28">
        <v>-8.0000000000000002E-3</v>
      </c>
    </row>
    <row r="177" spans="1:3" x14ac:dyDescent="0.3">
      <c r="A177" s="27">
        <v>45272</v>
      </c>
      <c r="B177" s="7">
        <v>2121</v>
      </c>
      <c r="C177" s="28">
        <v>1.9E-3</v>
      </c>
    </row>
    <row r="178" spans="1:3" x14ac:dyDescent="0.3">
      <c r="A178" s="27">
        <v>45273</v>
      </c>
      <c r="B178" s="7">
        <v>2140</v>
      </c>
      <c r="C178" s="28">
        <v>8.9999999999999993E-3</v>
      </c>
    </row>
    <row r="179" spans="1:3" x14ac:dyDescent="0.3">
      <c r="A179" s="27">
        <v>45274</v>
      </c>
      <c r="B179" s="7">
        <v>2210</v>
      </c>
      <c r="C179" s="28">
        <v>3.27E-2</v>
      </c>
    </row>
    <row r="180" spans="1:3" x14ac:dyDescent="0.3">
      <c r="A180" s="27">
        <v>45275</v>
      </c>
      <c r="B180" s="7">
        <v>2247.5</v>
      </c>
      <c r="C180" s="28">
        <v>1.7000000000000001E-2</v>
      </c>
    </row>
    <row r="181" spans="1:3" x14ac:dyDescent="0.3">
      <c r="A181" s="27">
        <v>45278</v>
      </c>
      <c r="B181" s="7">
        <v>2283</v>
      </c>
      <c r="C181" s="28">
        <v>1.5800000000000002E-2</v>
      </c>
    </row>
    <row r="182" spans="1:3" x14ac:dyDescent="0.3">
      <c r="A182" s="27">
        <v>45279</v>
      </c>
      <c r="B182" s="7">
        <v>2262.5</v>
      </c>
      <c r="C182" s="28">
        <v>-8.9999999999999993E-3</v>
      </c>
    </row>
    <row r="183" spans="1:3" x14ac:dyDescent="0.3">
      <c r="A183" s="27">
        <v>45280</v>
      </c>
      <c r="B183" s="7">
        <v>2241</v>
      </c>
      <c r="C183" s="28">
        <v>-9.4999999999999998E-3</v>
      </c>
    </row>
    <row r="184" spans="1:3" x14ac:dyDescent="0.3">
      <c r="A184" s="27">
        <v>45281</v>
      </c>
      <c r="B184" s="7">
        <v>2244</v>
      </c>
      <c r="C184" s="28">
        <v>1.2999999999999999E-3</v>
      </c>
    </row>
    <row r="185" spans="1:3" x14ac:dyDescent="0.3">
      <c r="A185" s="27">
        <v>45282</v>
      </c>
      <c r="B185" s="7">
        <v>2326</v>
      </c>
      <c r="C185" s="28">
        <v>3.6499999999999998E-2</v>
      </c>
    </row>
    <row r="186" spans="1:3" x14ac:dyDescent="0.3">
      <c r="A186" s="27">
        <v>45287</v>
      </c>
      <c r="B186" s="7">
        <v>2387</v>
      </c>
      <c r="C186" s="28">
        <v>2.6200000000000001E-2</v>
      </c>
    </row>
    <row r="187" spans="1:3" x14ac:dyDescent="0.3">
      <c r="A187" s="27">
        <v>45288</v>
      </c>
      <c r="B187" s="7">
        <v>2378</v>
      </c>
      <c r="C187" s="28">
        <v>-3.8E-3</v>
      </c>
    </row>
    <row r="188" spans="1:3" x14ac:dyDescent="0.3">
      <c r="A188" s="27">
        <v>45289</v>
      </c>
      <c r="B188" s="7">
        <v>2384</v>
      </c>
      <c r="C188" s="28">
        <v>2.5000000000000001E-3</v>
      </c>
    </row>
    <row r="189" spans="1:3" x14ac:dyDescent="0.3">
      <c r="A189" s="27">
        <v>45293</v>
      </c>
      <c r="B189" s="7">
        <v>2335.5</v>
      </c>
      <c r="C189" s="28">
        <v>-2.0299999999999999E-2</v>
      </c>
    </row>
    <row r="190" spans="1:3" x14ac:dyDescent="0.3">
      <c r="A190" s="27">
        <v>45294</v>
      </c>
      <c r="B190" s="7">
        <v>2312.5</v>
      </c>
      <c r="C190" s="28">
        <v>-9.7999999999999997E-3</v>
      </c>
    </row>
    <row r="191" spans="1:3" x14ac:dyDescent="0.3">
      <c r="A191" s="27">
        <v>45295</v>
      </c>
      <c r="B191" s="7">
        <v>2281</v>
      </c>
      <c r="C191" s="28">
        <v>-1.3599999999999999E-2</v>
      </c>
    </row>
    <row r="192" spans="1:3" x14ac:dyDescent="0.3">
      <c r="A192" s="27">
        <v>45296</v>
      </c>
      <c r="B192" s="7">
        <v>2273.5</v>
      </c>
      <c r="C192" s="28">
        <v>-3.3E-3</v>
      </c>
    </row>
    <row r="193" spans="1:3" x14ac:dyDescent="0.3">
      <c r="A193" s="27">
        <v>45299</v>
      </c>
      <c r="B193" s="7">
        <v>2236.5</v>
      </c>
      <c r="C193" s="28">
        <v>-1.6299999999999999E-2</v>
      </c>
    </row>
    <row r="194" spans="1:3" x14ac:dyDescent="0.3">
      <c r="A194" s="27">
        <v>45300</v>
      </c>
      <c r="B194" s="7">
        <v>2249.5</v>
      </c>
      <c r="C194" s="28">
        <v>5.7999999999999996E-3</v>
      </c>
    </row>
    <row r="195" spans="1:3" x14ac:dyDescent="0.3">
      <c r="A195" s="27">
        <v>45301</v>
      </c>
      <c r="B195" s="7">
        <v>2232.5</v>
      </c>
      <c r="C195" s="28">
        <v>-7.6E-3</v>
      </c>
    </row>
    <row r="196" spans="1:3" x14ac:dyDescent="0.3">
      <c r="A196" s="27">
        <v>45302</v>
      </c>
      <c r="B196" s="7">
        <v>2235</v>
      </c>
      <c r="C196" s="28">
        <v>1.1000000000000001E-3</v>
      </c>
    </row>
    <row r="197" spans="1:3" x14ac:dyDescent="0.3">
      <c r="A197" s="27">
        <v>45303</v>
      </c>
      <c r="B197" s="7">
        <v>2219.5</v>
      </c>
      <c r="C197" s="28">
        <v>-6.8999999999999999E-3</v>
      </c>
    </row>
    <row r="198" spans="1:3" x14ac:dyDescent="0.3">
      <c r="A198" s="27">
        <v>45306</v>
      </c>
      <c r="B198" s="7">
        <v>2204.5</v>
      </c>
      <c r="C198" s="28">
        <v>-6.7999999999999996E-3</v>
      </c>
    </row>
    <row r="199" spans="1:3" x14ac:dyDescent="0.3">
      <c r="A199" s="27">
        <v>45307</v>
      </c>
      <c r="B199" s="7">
        <v>2214</v>
      </c>
      <c r="C199" s="28">
        <v>4.3E-3</v>
      </c>
    </row>
    <row r="200" spans="1:3" x14ac:dyDescent="0.3">
      <c r="A200" s="27">
        <v>45308</v>
      </c>
      <c r="B200" s="7">
        <v>2178</v>
      </c>
      <c r="C200" s="28">
        <v>-1.6299999999999999E-2</v>
      </c>
    </row>
    <row r="201" spans="1:3" x14ac:dyDescent="0.3">
      <c r="A201" s="27">
        <v>45309</v>
      </c>
      <c r="B201" s="7">
        <v>2163.5</v>
      </c>
      <c r="C201" s="28">
        <v>-6.7000000000000002E-3</v>
      </c>
    </row>
    <row r="202" spans="1:3" x14ac:dyDescent="0.3">
      <c r="A202" s="27">
        <v>45310</v>
      </c>
      <c r="B202" s="7">
        <v>2166</v>
      </c>
      <c r="C202" s="28">
        <v>1.1999999999999999E-3</v>
      </c>
    </row>
    <row r="203" spans="1:3" x14ac:dyDescent="0.3">
      <c r="A203" s="27">
        <v>45313</v>
      </c>
      <c r="B203" s="7">
        <v>2159</v>
      </c>
      <c r="C203" s="28">
        <v>-3.2000000000000002E-3</v>
      </c>
    </row>
    <row r="204" spans="1:3" x14ac:dyDescent="0.3">
      <c r="A204" s="27">
        <v>45314</v>
      </c>
      <c r="B204" s="7">
        <v>2228</v>
      </c>
      <c r="C204" s="28">
        <v>3.2000000000000001E-2</v>
      </c>
    </row>
    <row r="205" spans="1:3" x14ac:dyDescent="0.3">
      <c r="A205" s="27">
        <v>45315</v>
      </c>
      <c r="B205" s="7">
        <v>2229.5</v>
      </c>
      <c r="C205" s="28">
        <v>6.9999999999999999E-4</v>
      </c>
    </row>
    <row r="206" spans="1:3" x14ac:dyDescent="0.3">
      <c r="A206" s="27">
        <v>45316</v>
      </c>
      <c r="B206" s="7">
        <v>2238.5</v>
      </c>
      <c r="C206" s="28">
        <v>4.0000000000000001E-3</v>
      </c>
    </row>
    <row r="207" spans="1:3" x14ac:dyDescent="0.3">
      <c r="A207" s="27">
        <v>45317</v>
      </c>
      <c r="B207" s="7">
        <v>2274.5</v>
      </c>
      <c r="C207" s="28">
        <v>1.61E-2</v>
      </c>
    </row>
    <row r="208" spans="1:3" x14ac:dyDescent="0.3">
      <c r="A208" s="27">
        <v>45320</v>
      </c>
      <c r="B208" s="7">
        <v>2264.5</v>
      </c>
      <c r="C208" s="28">
        <v>-4.4000000000000003E-3</v>
      </c>
    </row>
    <row r="209" spans="1:3" x14ac:dyDescent="0.3">
      <c r="A209" s="27">
        <v>45321</v>
      </c>
      <c r="B209" s="7">
        <v>2274.5</v>
      </c>
      <c r="C209" s="28">
        <v>4.4000000000000003E-3</v>
      </c>
    </row>
    <row r="210" spans="1:3" x14ac:dyDescent="0.3">
      <c r="A210" s="27">
        <v>45322</v>
      </c>
      <c r="B210" s="7">
        <v>2280</v>
      </c>
      <c r="C210" s="28">
        <v>2.3999999999999998E-3</v>
      </c>
    </row>
    <row r="211" spans="1:3" x14ac:dyDescent="0.3">
      <c r="A211" s="27">
        <v>45323</v>
      </c>
      <c r="B211" s="7">
        <v>2247</v>
      </c>
      <c r="C211" s="28">
        <v>-1.4500000000000001E-2</v>
      </c>
    </row>
    <row r="212" spans="1:3" x14ac:dyDescent="0.3">
      <c r="A212" s="27">
        <v>45324</v>
      </c>
      <c r="B212" s="7">
        <v>2233.5</v>
      </c>
      <c r="C212" s="28">
        <v>-6.0000000000000001E-3</v>
      </c>
    </row>
    <row r="213" spans="1:3" x14ac:dyDescent="0.3">
      <c r="A213" s="27">
        <v>45327</v>
      </c>
      <c r="B213" s="7">
        <v>2212.5</v>
      </c>
      <c r="C213" s="28">
        <v>-9.4000000000000004E-3</v>
      </c>
    </row>
    <row r="214" spans="1:3" x14ac:dyDescent="0.3">
      <c r="A214" s="27">
        <v>45328</v>
      </c>
      <c r="B214" s="7">
        <v>2230.5</v>
      </c>
      <c r="C214" s="28">
        <v>8.0999999999999996E-3</v>
      </c>
    </row>
    <row r="215" spans="1:3" x14ac:dyDescent="0.3">
      <c r="A215" s="27">
        <v>45329</v>
      </c>
      <c r="B215" s="7">
        <v>2222</v>
      </c>
      <c r="C215" s="28">
        <v>-3.8E-3</v>
      </c>
    </row>
    <row r="216" spans="1:3" x14ac:dyDescent="0.3">
      <c r="A216" s="27">
        <v>45330</v>
      </c>
      <c r="B216" s="7">
        <v>2221.5</v>
      </c>
      <c r="C216" s="28">
        <v>-2.0000000000000001E-4</v>
      </c>
    </row>
    <row r="217" spans="1:3" x14ac:dyDescent="0.3">
      <c r="A217" s="27">
        <v>45331</v>
      </c>
      <c r="B217" s="7">
        <v>2216</v>
      </c>
      <c r="C217" s="28">
        <v>-2.5000000000000001E-3</v>
      </c>
    </row>
    <row r="218" spans="1:3" x14ac:dyDescent="0.3">
      <c r="A218" s="27">
        <v>45334</v>
      </c>
      <c r="B218" s="7">
        <v>2227</v>
      </c>
      <c r="C218" s="28">
        <v>5.0000000000000001E-3</v>
      </c>
    </row>
    <row r="219" spans="1:3" x14ac:dyDescent="0.3">
      <c r="A219" s="27">
        <v>45335</v>
      </c>
      <c r="B219" s="7">
        <v>2225.5</v>
      </c>
      <c r="C219" s="28">
        <v>-6.9999999999999999E-4</v>
      </c>
    </row>
    <row r="220" spans="1:3" x14ac:dyDescent="0.3">
      <c r="A220" s="27">
        <v>45336</v>
      </c>
      <c r="B220" s="7">
        <v>2235.5</v>
      </c>
      <c r="C220" s="28">
        <v>4.4999999999999997E-3</v>
      </c>
    </row>
    <row r="221" spans="1:3" x14ac:dyDescent="0.3">
      <c r="A221" s="27">
        <v>45337</v>
      </c>
      <c r="B221" s="7">
        <v>2224.5</v>
      </c>
      <c r="C221" s="28">
        <v>-4.8999999999999998E-3</v>
      </c>
    </row>
    <row r="222" spans="1:3" x14ac:dyDescent="0.3">
      <c r="A222" s="27">
        <v>45338</v>
      </c>
      <c r="B222" s="7">
        <v>2218</v>
      </c>
      <c r="C222" s="28">
        <v>-2.8999999999999998E-3</v>
      </c>
    </row>
    <row r="223" spans="1:3" x14ac:dyDescent="0.3">
      <c r="A223" s="27">
        <v>45341</v>
      </c>
      <c r="B223" s="7">
        <v>2197</v>
      </c>
      <c r="C223" s="28">
        <v>-9.4999999999999998E-3</v>
      </c>
    </row>
    <row r="224" spans="1:3" x14ac:dyDescent="0.3">
      <c r="A224" s="27">
        <v>45342</v>
      </c>
      <c r="B224" s="7">
        <v>2193.5</v>
      </c>
      <c r="C224" s="28">
        <v>-1.6000000000000001E-3</v>
      </c>
    </row>
    <row r="225" spans="1:3" x14ac:dyDescent="0.3">
      <c r="A225" s="27">
        <v>45343</v>
      </c>
      <c r="B225" s="7">
        <v>2219.5</v>
      </c>
      <c r="C225" s="28">
        <v>1.1900000000000001E-2</v>
      </c>
    </row>
    <row r="226" spans="1:3" x14ac:dyDescent="0.3">
      <c r="A226" s="27">
        <v>45344</v>
      </c>
      <c r="B226" s="7">
        <v>2198</v>
      </c>
      <c r="C226" s="28">
        <v>-9.7000000000000003E-3</v>
      </c>
    </row>
    <row r="227" spans="1:3" x14ac:dyDescent="0.3">
      <c r="A227" s="27">
        <v>45345</v>
      </c>
      <c r="B227" s="7">
        <v>2180</v>
      </c>
      <c r="C227" s="28">
        <v>-8.2000000000000007E-3</v>
      </c>
    </row>
    <row r="228" spans="1:3" x14ac:dyDescent="0.3">
      <c r="A228" s="27">
        <v>45348</v>
      </c>
      <c r="B228" s="7">
        <v>2180</v>
      </c>
      <c r="C228" s="28">
        <v>0</v>
      </c>
    </row>
    <row r="229" spans="1:3" x14ac:dyDescent="0.3">
      <c r="A229" s="27">
        <v>45349</v>
      </c>
      <c r="B229" s="7">
        <v>2191.5</v>
      </c>
      <c r="C229" s="28">
        <v>5.3E-3</v>
      </c>
    </row>
    <row r="230" spans="1:3" x14ac:dyDescent="0.3">
      <c r="A230" s="27">
        <v>45350</v>
      </c>
      <c r="B230" s="7">
        <v>2190.5</v>
      </c>
      <c r="C230" s="28">
        <v>-5.0000000000000001E-4</v>
      </c>
    </row>
    <row r="231" spans="1:3" x14ac:dyDescent="0.3">
      <c r="A231" s="27">
        <v>45351</v>
      </c>
      <c r="B231" s="7">
        <v>2228</v>
      </c>
      <c r="C231" s="28">
        <v>1.7100000000000001E-2</v>
      </c>
    </row>
    <row r="232" spans="1:3" x14ac:dyDescent="0.3">
      <c r="A232" s="27">
        <v>45352</v>
      </c>
      <c r="B232" s="7">
        <v>2245</v>
      </c>
      <c r="C232" s="28">
        <v>7.6E-3</v>
      </c>
    </row>
    <row r="233" spans="1:3" x14ac:dyDescent="0.3">
      <c r="A233" s="27">
        <v>45355</v>
      </c>
      <c r="B233" s="7">
        <v>2234</v>
      </c>
      <c r="C233" s="28">
        <v>-4.8999999999999998E-3</v>
      </c>
    </row>
    <row r="234" spans="1:3" x14ac:dyDescent="0.3">
      <c r="A234" s="27">
        <v>45356</v>
      </c>
      <c r="B234" s="7">
        <v>2228.5</v>
      </c>
      <c r="C234" s="28">
        <v>-2.5000000000000001E-3</v>
      </c>
    </row>
    <row r="235" spans="1:3" x14ac:dyDescent="0.3">
      <c r="A235" s="27">
        <v>45357</v>
      </c>
      <c r="B235" s="7">
        <v>2235</v>
      </c>
      <c r="C235" s="28">
        <v>2.8999999999999998E-3</v>
      </c>
    </row>
    <row r="236" spans="1:3" x14ac:dyDescent="0.3">
      <c r="A236" s="27">
        <v>45358</v>
      </c>
      <c r="B236" s="7">
        <v>2253</v>
      </c>
      <c r="C236" s="28">
        <v>8.0999999999999996E-3</v>
      </c>
    </row>
    <row r="237" spans="1:3" x14ac:dyDescent="0.3">
      <c r="A237" s="27">
        <v>45359</v>
      </c>
      <c r="B237" s="7">
        <v>2240</v>
      </c>
      <c r="C237" s="28">
        <v>-5.7999999999999996E-3</v>
      </c>
    </row>
    <row r="238" spans="1:3" x14ac:dyDescent="0.3">
      <c r="A238" s="27">
        <v>45362</v>
      </c>
      <c r="B238" s="7">
        <v>2259</v>
      </c>
      <c r="C238" s="28">
        <v>8.5000000000000006E-3</v>
      </c>
    </row>
    <row r="239" spans="1:3" x14ac:dyDescent="0.3">
      <c r="A239" s="27">
        <v>45363</v>
      </c>
      <c r="B239" s="7">
        <v>2265</v>
      </c>
      <c r="C239" s="28">
        <v>2.7000000000000001E-3</v>
      </c>
    </row>
    <row r="240" spans="1:3" x14ac:dyDescent="0.3">
      <c r="A240" s="27">
        <v>45364</v>
      </c>
      <c r="B240" s="7">
        <v>2264</v>
      </c>
      <c r="C240" s="28">
        <v>-4.0000000000000002E-4</v>
      </c>
    </row>
    <row r="241" spans="1:3" x14ac:dyDescent="0.3">
      <c r="A241" s="27">
        <v>45365</v>
      </c>
      <c r="B241" s="7">
        <v>2251.5</v>
      </c>
      <c r="C241" s="28">
        <v>-5.4999999999999997E-3</v>
      </c>
    </row>
    <row r="242" spans="1:3" x14ac:dyDescent="0.3">
      <c r="A242" s="27">
        <v>45366</v>
      </c>
      <c r="B242" s="7">
        <v>2274.5</v>
      </c>
      <c r="C242" s="28">
        <v>1.0200000000000001E-2</v>
      </c>
    </row>
    <row r="243" spans="1:3" x14ac:dyDescent="0.3">
      <c r="A243" s="27">
        <v>45369</v>
      </c>
      <c r="B243" s="7">
        <v>2277.5</v>
      </c>
      <c r="C243" s="28">
        <v>1.2999999999999999E-3</v>
      </c>
    </row>
    <row r="244" spans="1:3" x14ac:dyDescent="0.3">
      <c r="A244" s="27">
        <v>45370</v>
      </c>
      <c r="B244" s="7">
        <v>2269</v>
      </c>
      <c r="C244" s="28">
        <v>-3.7000000000000002E-3</v>
      </c>
    </row>
    <row r="245" spans="1:3" x14ac:dyDescent="0.3">
      <c r="A245" s="27">
        <v>45371</v>
      </c>
      <c r="B245" s="7">
        <v>2273</v>
      </c>
      <c r="C245" s="28">
        <v>1.8E-3</v>
      </c>
    </row>
    <row r="246" spans="1:3" x14ac:dyDescent="0.3">
      <c r="A246" s="27">
        <v>45372</v>
      </c>
      <c r="B246" s="7">
        <v>2301.5</v>
      </c>
      <c r="C246" s="28">
        <v>1.2500000000000001E-2</v>
      </c>
    </row>
    <row r="247" spans="1:3" x14ac:dyDescent="0.3">
      <c r="A247" s="27">
        <v>45373</v>
      </c>
      <c r="B247" s="7">
        <v>2309</v>
      </c>
      <c r="C247" s="28">
        <v>3.3E-3</v>
      </c>
    </row>
    <row r="248" spans="1:3" x14ac:dyDescent="0.3">
      <c r="A248" s="27">
        <v>45376</v>
      </c>
      <c r="B248" s="7">
        <v>2326</v>
      </c>
      <c r="C248" s="28">
        <v>7.4000000000000003E-3</v>
      </c>
    </row>
    <row r="249" spans="1:3" x14ac:dyDescent="0.3">
      <c r="A249" s="27">
        <v>45377</v>
      </c>
      <c r="B249" s="7">
        <v>2303.5</v>
      </c>
      <c r="C249" s="28">
        <v>-9.7000000000000003E-3</v>
      </c>
    </row>
    <row r="250" spans="1:3" x14ac:dyDescent="0.3">
      <c r="A250" s="27">
        <v>45378</v>
      </c>
      <c r="B250" s="7">
        <v>2298.5</v>
      </c>
      <c r="C250" s="28">
        <v>-2.2000000000000001E-3</v>
      </c>
    </row>
    <row r="251" spans="1:3" x14ac:dyDescent="0.3">
      <c r="A251" s="27">
        <v>45379</v>
      </c>
      <c r="B251" s="7">
        <v>2337</v>
      </c>
      <c r="C251" s="28">
        <v>1.6799999999999999E-2</v>
      </c>
    </row>
    <row r="252" spans="1:3" x14ac:dyDescent="0.3">
      <c r="A252" s="27">
        <v>45384</v>
      </c>
      <c r="B252" s="7">
        <v>2380</v>
      </c>
      <c r="C252" s="28">
        <v>1.84E-2</v>
      </c>
    </row>
    <row r="253" spans="1:3" x14ac:dyDescent="0.3">
      <c r="A253" s="27">
        <v>45385</v>
      </c>
      <c r="B253" s="7">
        <v>2429</v>
      </c>
      <c r="C253" s="28">
        <v>2.06E-2</v>
      </c>
    </row>
    <row r="254" spans="1:3" x14ac:dyDescent="0.3">
      <c r="A254" s="27">
        <v>45386</v>
      </c>
      <c r="B254" s="7">
        <v>2444.5</v>
      </c>
      <c r="C254" s="28">
        <v>6.4000000000000003E-3</v>
      </c>
    </row>
    <row r="255" spans="1:3" x14ac:dyDescent="0.3">
      <c r="A255" s="27">
        <v>45387</v>
      </c>
      <c r="B255" s="7">
        <v>2450.5</v>
      </c>
      <c r="C255" s="28">
        <v>2.5000000000000001E-3</v>
      </c>
    </row>
    <row r="256" spans="1:3" x14ac:dyDescent="0.3">
      <c r="A256" s="27">
        <v>45390</v>
      </c>
      <c r="B256" s="7">
        <v>2460.5</v>
      </c>
      <c r="C256" s="28">
        <v>4.1000000000000003E-3</v>
      </c>
    </row>
    <row r="257" spans="1:3" x14ac:dyDescent="0.3">
      <c r="A257" s="27">
        <v>45391</v>
      </c>
      <c r="B257" s="7">
        <v>2460</v>
      </c>
      <c r="C257" s="28">
        <v>-2.0000000000000001E-4</v>
      </c>
    </row>
    <row r="258" spans="1:3" x14ac:dyDescent="0.3">
      <c r="A258" s="27">
        <v>45392</v>
      </c>
      <c r="B258" s="7">
        <v>2456</v>
      </c>
      <c r="C258" s="28">
        <v>-1.6000000000000001E-3</v>
      </c>
    </row>
    <row r="259" spans="1:3" x14ac:dyDescent="0.3">
      <c r="A259" s="27">
        <v>45393</v>
      </c>
      <c r="B259" s="7">
        <v>2454</v>
      </c>
      <c r="C259" s="28">
        <v>-8.0000000000000004E-4</v>
      </c>
    </row>
    <row r="260" spans="1:3" x14ac:dyDescent="0.3">
      <c r="A260" s="27">
        <v>45394</v>
      </c>
      <c r="B260" s="7">
        <v>2494</v>
      </c>
      <c r="C260" s="28">
        <v>1.6299999999999999E-2</v>
      </c>
    </row>
    <row r="261" spans="1:3" x14ac:dyDescent="0.3">
      <c r="A261" s="27">
        <v>45397</v>
      </c>
      <c r="B261" s="7">
        <v>2555</v>
      </c>
      <c r="C261" s="28">
        <v>2.4500000000000001E-2</v>
      </c>
    </row>
    <row r="262" spans="1:3" x14ac:dyDescent="0.3">
      <c r="A262" s="27">
        <v>45398</v>
      </c>
      <c r="B262" s="7">
        <v>2561.5</v>
      </c>
      <c r="C262" s="28">
        <v>2.5000000000000001E-3</v>
      </c>
    </row>
    <row r="263" spans="1:3" x14ac:dyDescent="0.3">
      <c r="A263" s="27">
        <v>45399</v>
      </c>
      <c r="B263" s="7">
        <v>2587</v>
      </c>
      <c r="C263" s="28">
        <v>0.01</v>
      </c>
    </row>
    <row r="264" spans="1:3" x14ac:dyDescent="0.3">
      <c r="A264" s="27">
        <v>45400</v>
      </c>
      <c r="B264" s="7">
        <v>2614.5</v>
      </c>
      <c r="C264" s="28">
        <v>1.06E-2</v>
      </c>
    </row>
    <row r="265" spans="1:3" x14ac:dyDescent="0.3">
      <c r="A265" s="27">
        <v>45401</v>
      </c>
      <c r="B265" s="7">
        <v>2669</v>
      </c>
      <c r="C265" s="28">
        <v>2.0799999999999999E-2</v>
      </c>
    </row>
    <row r="266" spans="1:3" x14ac:dyDescent="0.3">
      <c r="A266" s="27">
        <v>45404</v>
      </c>
      <c r="B266" s="7">
        <v>2670.5</v>
      </c>
      <c r="C266" s="28">
        <v>5.9999999999999995E-4</v>
      </c>
    </row>
    <row r="267" spans="1:3" x14ac:dyDescent="0.3">
      <c r="A267" s="27">
        <v>45405</v>
      </c>
      <c r="B267" s="7">
        <v>2579</v>
      </c>
      <c r="C267" s="28">
        <v>-3.4299999999999997E-2</v>
      </c>
    </row>
    <row r="268" spans="1:3" x14ac:dyDescent="0.3">
      <c r="A268" s="27">
        <v>45406</v>
      </c>
      <c r="B268" s="7">
        <v>2603</v>
      </c>
      <c r="C268" s="28">
        <v>9.2999999999999992E-3</v>
      </c>
    </row>
    <row r="269" spans="1:3" x14ac:dyDescent="0.3">
      <c r="A269" s="27">
        <v>45407</v>
      </c>
      <c r="B269" s="7">
        <v>2563.5</v>
      </c>
      <c r="C269" s="28">
        <v>-1.52E-2</v>
      </c>
    </row>
    <row r="270" spans="1:3" x14ac:dyDescent="0.3">
      <c r="A270" s="27">
        <v>45408</v>
      </c>
      <c r="B270" s="7">
        <v>2569.5</v>
      </c>
      <c r="C270" s="28">
        <v>2.3E-3</v>
      </c>
    </row>
    <row r="271" spans="1:3" x14ac:dyDescent="0.3">
      <c r="A271" s="27">
        <v>45411</v>
      </c>
      <c r="B271" s="7">
        <v>2590</v>
      </c>
      <c r="C271" s="28">
        <v>8.0000000000000002E-3</v>
      </c>
    </row>
    <row r="272" spans="1:3" x14ac:dyDescent="0.3">
      <c r="A272" s="27">
        <v>45412</v>
      </c>
      <c r="B272" s="7">
        <v>2591.5</v>
      </c>
      <c r="C272" s="28">
        <v>5.9999999999999995E-4</v>
      </c>
    </row>
    <row r="273" spans="1:3" x14ac:dyDescent="0.3">
      <c r="A273" s="27">
        <v>45413</v>
      </c>
      <c r="B273" s="7">
        <v>2577.5</v>
      </c>
      <c r="C273" s="28">
        <v>-5.4000000000000003E-3</v>
      </c>
    </row>
    <row r="274" spans="1:3" x14ac:dyDescent="0.3">
      <c r="A274" s="27">
        <v>45414</v>
      </c>
      <c r="B274" s="7">
        <v>2528</v>
      </c>
      <c r="C274" s="28">
        <v>-1.9199999999999998E-2</v>
      </c>
    </row>
    <row r="275" spans="1:3" x14ac:dyDescent="0.3">
      <c r="A275" s="27">
        <v>45415</v>
      </c>
      <c r="B275" s="7">
        <v>2551.5</v>
      </c>
      <c r="C275" s="28">
        <v>9.2999999999999992E-3</v>
      </c>
    </row>
    <row r="276" spans="1:3" x14ac:dyDescent="0.3">
      <c r="A276" s="27">
        <v>45419</v>
      </c>
      <c r="B276" s="7">
        <v>2569.5</v>
      </c>
      <c r="C276" s="28">
        <v>7.1000000000000004E-3</v>
      </c>
    </row>
    <row r="277" spans="1:3" x14ac:dyDescent="0.3">
      <c r="A277" s="27">
        <v>45420</v>
      </c>
      <c r="B277" s="7">
        <v>2549</v>
      </c>
      <c r="C277" s="28">
        <v>-8.0000000000000002E-3</v>
      </c>
    </row>
    <row r="278" spans="1:3" x14ac:dyDescent="0.3">
      <c r="A278" s="27">
        <v>45421</v>
      </c>
      <c r="B278" s="7">
        <v>2561.5</v>
      </c>
      <c r="C278" s="28">
        <v>4.8999999999999998E-3</v>
      </c>
    </row>
    <row r="279" spans="1:3" x14ac:dyDescent="0.3">
      <c r="A279" s="27">
        <v>45422</v>
      </c>
      <c r="B279" s="7">
        <v>2529.5</v>
      </c>
      <c r="C279" s="28">
        <v>-1.2500000000000001E-2</v>
      </c>
    </row>
    <row r="280" spans="1:3" x14ac:dyDescent="0.3">
      <c r="A280" s="27">
        <v>45425</v>
      </c>
      <c r="B280" s="7">
        <v>2542</v>
      </c>
      <c r="C280" s="28">
        <v>4.8999999999999998E-3</v>
      </c>
    </row>
    <row r="281" spans="1:3" x14ac:dyDescent="0.3">
      <c r="A281" s="27">
        <v>45426</v>
      </c>
      <c r="B281" s="7">
        <v>2551</v>
      </c>
      <c r="C281" s="28">
        <v>3.5000000000000001E-3</v>
      </c>
    </row>
    <row r="282" spans="1:3" x14ac:dyDescent="0.3">
      <c r="A282" s="27">
        <v>45427</v>
      </c>
      <c r="B282" s="7">
        <v>2598.5</v>
      </c>
      <c r="C282" s="28">
        <v>1.8599999999999998E-2</v>
      </c>
    </row>
    <row r="283" spans="1:3" x14ac:dyDescent="0.3">
      <c r="A283" s="27">
        <v>45428</v>
      </c>
      <c r="B283" s="7">
        <v>2586.5</v>
      </c>
      <c r="C283" s="28">
        <v>-4.5999999999999999E-3</v>
      </c>
    </row>
    <row r="284" spans="1:3" x14ac:dyDescent="0.3">
      <c r="A284" s="27">
        <v>45429</v>
      </c>
      <c r="B284" s="7">
        <v>2612</v>
      </c>
      <c r="C284" s="28">
        <v>9.9000000000000008E-3</v>
      </c>
    </row>
    <row r="285" spans="1:3" x14ac:dyDescent="0.3">
      <c r="A285" s="27">
        <v>45432</v>
      </c>
      <c r="B285" s="7">
        <v>2630</v>
      </c>
      <c r="C285" s="28">
        <v>6.8999999999999999E-3</v>
      </c>
    </row>
    <row r="286" spans="1:3" x14ac:dyDescent="0.3">
      <c r="A286" s="27">
        <v>45433</v>
      </c>
      <c r="B286" s="7">
        <v>2725.5</v>
      </c>
      <c r="C286" s="28">
        <v>3.6299999999999999E-2</v>
      </c>
    </row>
    <row r="287" spans="1:3" x14ac:dyDescent="0.3">
      <c r="A287" s="27">
        <v>45434</v>
      </c>
      <c r="B287" s="7">
        <v>2636.5</v>
      </c>
      <c r="C287" s="28">
        <v>-3.27E-2</v>
      </c>
    </row>
    <row r="288" spans="1:3" x14ac:dyDescent="0.3">
      <c r="A288" s="27">
        <v>45435</v>
      </c>
      <c r="B288" s="7">
        <v>2621.5</v>
      </c>
      <c r="C288" s="28">
        <v>-5.7000000000000002E-3</v>
      </c>
    </row>
    <row r="289" spans="1:3" x14ac:dyDescent="0.3">
      <c r="A289" s="27">
        <v>45436</v>
      </c>
      <c r="B289" s="7">
        <v>2662</v>
      </c>
      <c r="C289" s="28">
        <v>1.54E-2</v>
      </c>
    </row>
    <row r="290" spans="1:3" x14ac:dyDescent="0.3">
      <c r="A290" s="27">
        <v>45440</v>
      </c>
      <c r="B290" s="7">
        <v>2729.5</v>
      </c>
      <c r="C290" s="28">
        <v>2.5399999999999999E-2</v>
      </c>
    </row>
    <row r="291" spans="1:3" x14ac:dyDescent="0.3">
      <c r="A291" s="27">
        <v>45441</v>
      </c>
      <c r="B291" s="7">
        <v>2767.5</v>
      </c>
      <c r="C291" s="28">
        <v>1.3899999999999999E-2</v>
      </c>
    </row>
    <row r="292" spans="1:3" x14ac:dyDescent="0.3">
      <c r="A292" s="27">
        <v>45442</v>
      </c>
      <c r="B292" s="7">
        <v>2703.5</v>
      </c>
      <c r="C292" s="28">
        <v>-2.3099999999999999E-2</v>
      </c>
    </row>
    <row r="293" spans="1:3" x14ac:dyDescent="0.3">
      <c r="A293" s="27">
        <v>45443</v>
      </c>
      <c r="B293" s="7">
        <v>2652.5</v>
      </c>
      <c r="C293" s="28">
        <v>-1.89E-2</v>
      </c>
    </row>
    <row r="294" spans="1:3" x14ac:dyDescent="0.3">
      <c r="A294" s="27">
        <v>45446</v>
      </c>
      <c r="B294" s="7">
        <v>2661.5</v>
      </c>
      <c r="C294" s="28">
        <v>3.3999999999999998E-3</v>
      </c>
    </row>
    <row r="295" spans="1:3" x14ac:dyDescent="0.3">
      <c r="A295" s="27">
        <v>45447</v>
      </c>
      <c r="B295" s="7">
        <v>2663.5</v>
      </c>
      <c r="C295" s="28">
        <v>8.0000000000000004E-4</v>
      </c>
    </row>
    <row r="296" spans="1:3" x14ac:dyDescent="0.3">
      <c r="A296" s="27">
        <v>45448</v>
      </c>
      <c r="B296" s="7">
        <v>2622</v>
      </c>
      <c r="C296" s="28">
        <v>-1.5599999999999999E-2</v>
      </c>
    </row>
    <row r="297" spans="1:3" x14ac:dyDescent="0.3">
      <c r="A297" s="27">
        <v>45449</v>
      </c>
      <c r="B297" s="7">
        <v>2647.5</v>
      </c>
      <c r="C297" s="28">
        <v>9.7000000000000003E-3</v>
      </c>
    </row>
    <row r="298" spans="1:3" x14ac:dyDescent="0.3">
      <c r="A298" s="27">
        <v>45450</v>
      </c>
      <c r="B298" s="7">
        <v>2578</v>
      </c>
      <c r="C298" s="28">
        <v>-2.63E-2</v>
      </c>
    </row>
    <row r="299" spans="1:3" x14ac:dyDescent="0.3">
      <c r="A299" s="27">
        <v>45453</v>
      </c>
      <c r="B299" s="7">
        <v>2572</v>
      </c>
      <c r="C299" s="28">
        <v>-2.3E-3</v>
      </c>
    </row>
    <row r="300" spans="1:3" x14ac:dyDescent="0.3">
      <c r="A300" s="27">
        <v>45454</v>
      </c>
      <c r="B300" s="7">
        <v>2533.5</v>
      </c>
      <c r="C300" s="28">
        <v>-1.4999999999999999E-2</v>
      </c>
    </row>
    <row r="301" spans="1:3" x14ac:dyDescent="0.3">
      <c r="A301" s="27">
        <v>45455</v>
      </c>
      <c r="B301" s="7">
        <v>2575.5</v>
      </c>
      <c r="C301" s="28">
        <v>1.66E-2</v>
      </c>
    </row>
    <row r="302" spans="1:3" x14ac:dyDescent="0.3">
      <c r="A302" s="27">
        <v>45456</v>
      </c>
      <c r="B302" s="7">
        <v>2557</v>
      </c>
      <c r="C302" s="28">
        <v>-7.1999999999999998E-3</v>
      </c>
    </row>
    <row r="303" spans="1:3" x14ac:dyDescent="0.3">
      <c r="A303" s="27">
        <v>45457</v>
      </c>
      <c r="B303" s="7">
        <v>2517.5</v>
      </c>
      <c r="C303" s="28">
        <v>-1.54E-2</v>
      </c>
    </row>
    <row r="304" spans="1:3" x14ac:dyDescent="0.3">
      <c r="A304" s="27">
        <v>45460</v>
      </c>
      <c r="B304" s="7">
        <v>2501.5</v>
      </c>
      <c r="C304" s="28">
        <v>-6.4000000000000003E-3</v>
      </c>
    </row>
    <row r="305" spans="1:3" x14ac:dyDescent="0.3">
      <c r="A305" s="27">
        <v>45461</v>
      </c>
      <c r="B305" s="7">
        <v>2486.5</v>
      </c>
      <c r="C305" s="28">
        <v>-6.0000000000000001E-3</v>
      </c>
    </row>
    <row r="306" spans="1:3" x14ac:dyDescent="0.3">
      <c r="A306" s="27">
        <v>45462</v>
      </c>
      <c r="B306" s="7">
        <v>2499</v>
      </c>
      <c r="C306" s="28">
        <v>5.0000000000000001E-3</v>
      </c>
    </row>
    <row r="307" spans="1:3" x14ac:dyDescent="0.3">
      <c r="A307" s="27">
        <v>45463</v>
      </c>
      <c r="B307" s="7">
        <v>2521.5</v>
      </c>
      <c r="C307" s="28">
        <v>8.9999999999999993E-3</v>
      </c>
    </row>
    <row r="308" spans="1:3" x14ac:dyDescent="0.3">
      <c r="A308" s="27">
        <v>45464</v>
      </c>
      <c r="B308" s="7">
        <v>2513.5</v>
      </c>
      <c r="C308" s="28">
        <v>-3.2000000000000002E-3</v>
      </c>
    </row>
    <row r="309" spans="1:3" x14ac:dyDescent="0.3">
      <c r="A309" s="27">
        <v>45467</v>
      </c>
      <c r="B309" s="7">
        <v>2503</v>
      </c>
      <c r="C309" s="28">
        <v>-4.1999999999999997E-3</v>
      </c>
    </row>
    <row r="310" spans="1:3" x14ac:dyDescent="0.3">
      <c r="A310" s="27">
        <v>45468</v>
      </c>
      <c r="B310" s="7">
        <v>2496</v>
      </c>
      <c r="C310" s="28">
        <v>-2.8E-3</v>
      </c>
    </row>
    <row r="311" spans="1:3" x14ac:dyDescent="0.3">
      <c r="A311" s="27">
        <v>45469</v>
      </c>
      <c r="B311" s="7">
        <v>2512</v>
      </c>
      <c r="C311" s="28">
        <v>6.4000000000000003E-3</v>
      </c>
    </row>
    <row r="312" spans="1:3" x14ac:dyDescent="0.3">
      <c r="A312" s="27">
        <v>45470</v>
      </c>
      <c r="B312" s="7">
        <v>2492.5</v>
      </c>
      <c r="C312" s="28">
        <v>-7.7999999999999996E-3</v>
      </c>
    </row>
    <row r="313" spans="1:3" x14ac:dyDescent="0.3">
      <c r="A313" s="27">
        <v>45471</v>
      </c>
      <c r="B313" s="7">
        <v>2524.5</v>
      </c>
      <c r="C313" s="28">
        <v>1.2800000000000001E-2</v>
      </c>
    </row>
    <row r="314" spans="1:3" x14ac:dyDescent="0.3">
      <c r="A314" s="27">
        <v>45474</v>
      </c>
      <c r="B314" s="7">
        <v>2515.5</v>
      </c>
      <c r="C314" s="28">
        <v>-3.5999999999999999E-3</v>
      </c>
    </row>
    <row r="315" spans="1:3" x14ac:dyDescent="0.3">
      <c r="A315" s="27">
        <v>45475</v>
      </c>
      <c r="B315" s="7">
        <v>2522.5</v>
      </c>
      <c r="C315" s="28">
        <v>2.8E-3</v>
      </c>
    </row>
    <row r="316" spans="1:3" x14ac:dyDescent="0.3">
      <c r="A316" s="27">
        <v>45476</v>
      </c>
      <c r="B316" s="7">
        <v>2548</v>
      </c>
      <c r="C316" s="28">
        <v>1.01E-2</v>
      </c>
    </row>
    <row r="317" spans="1:3" x14ac:dyDescent="0.3">
      <c r="A317" s="27">
        <v>45477</v>
      </c>
      <c r="B317" s="7">
        <v>2522.5</v>
      </c>
      <c r="C317" s="28">
        <v>-0.01</v>
      </c>
    </row>
    <row r="318" spans="1:3" x14ac:dyDescent="0.3">
      <c r="A318" s="27">
        <v>45478</v>
      </c>
      <c r="B318" s="7">
        <v>2535.5</v>
      </c>
      <c r="C318" s="28">
        <v>5.1999999999999998E-3</v>
      </c>
    </row>
    <row r="319" spans="1:3" x14ac:dyDescent="0.3">
      <c r="A319" s="27">
        <v>45481</v>
      </c>
      <c r="B319" s="7">
        <v>2531.5</v>
      </c>
      <c r="C319" s="28">
        <v>-1.6000000000000001E-3</v>
      </c>
    </row>
    <row r="320" spans="1:3" x14ac:dyDescent="0.3">
      <c r="A320" s="27">
        <v>45482</v>
      </c>
      <c r="B320" s="7">
        <v>2496.5</v>
      </c>
      <c r="C320" s="28">
        <v>-1.38E-2</v>
      </c>
    </row>
    <row r="321" spans="1:3" x14ac:dyDescent="0.3">
      <c r="A321" s="27">
        <v>45483</v>
      </c>
      <c r="B321" s="7">
        <v>2483.5</v>
      </c>
      <c r="C321" s="28">
        <v>-5.1999999999999998E-3</v>
      </c>
    </row>
    <row r="322" spans="1:3" x14ac:dyDescent="0.3">
      <c r="A322" s="27">
        <v>45484</v>
      </c>
      <c r="B322" s="7">
        <v>2476.5</v>
      </c>
      <c r="C322" s="28">
        <v>-2.8E-3</v>
      </c>
    </row>
    <row r="323" spans="1:3" x14ac:dyDescent="0.3">
      <c r="A323" s="27">
        <v>45485</v>
      </c>
      <c r="B323" s="7">
        <v>2481</v>
      </c>
      <c r="C323" s="28">
        <v>1.8E-3</v>
      </c>
    </row>
    <row r="324" spans="1:3" x14ac:dyDescent="0.3">
      <c r="A324" s="27">
        <v>45488</v>
      </c>
      <c r="B324" s="7">
        <v>2461.5</v>
      </c>
      <c r="C324" s="28">
        <v>-7.9000000000000008E-3</v>
      </c>
    </row>
    <row r="325" spans="1:3" x14ac:dyDescent="0.3">
      <c r="A325" s="27">
        <v>45489</v>
      </c>
      <c r="B325" s="7">
        <v>2406</v>
      </c>
      <c r="C325" s="28">
        <v>-2.2499999999999999E-2</v>
      </c>
    </row>
    <row r="326" spans="1:3" x14ac:dyDescent="0.3">
      <c r="A326" s="27">
        <v>45490</v>
      </c>
      <c r="B326" s="7">
        <v>2402</v>
      </c>
      <c r="C326" s="28">
        <v>-1.6999999999999999E-3</v>
      </c>
    </row>
    <row r="327" spans="1:3" x14ac:dyDescent="0.3">
      <c r="A327" s="27">
        <v>45491</v>
      </c>
      <c r="B327" s="7">
        <v>2385</v>
      </c>
      <c r="C327" s="28">
        <v>-7.1000000000000004E-3</v>
      </c>
    </row>
    <row r="328" spans="1:3" x14ac:dyDescent="0.3">
      <c r="A328" s="27">
        <v>45492</v>
      </c>
      <c r="B328" s="7">
        <v>2351.5</v>
      </c>
      <c r="C328" s="28">
        <v>-1.4E-2</v>
      </c>
    </row>
    <row r="329" spans="1:3" x14ac:dyDescent="0.3">
      <c r="A329" s="27">
        <v>45495</v>
      </c>
      <c r="B329" s="7">
        <v>2299.5</v>
      </c>
      <c r="C329" s="28">
        <v>-2.2100000000000002E-2</v>
      </c>
    </row>
    <row r="330" spans="1:3" x14ac:dyDescent="0.3">
      <c r="A330" s="27">
        <v>45496</v>
      </c>
      <c r="B330" s="7">
        <v>2295</v>
      </c>
      <c r="C330" s="28">
        <v>-2E-3</v>
      </c>
    </row>
    <row r="331" spans="1:3" x14ac:dyDescent="0.3">
      <c r="A331" s="27">
        <v>45497</v>
      </c>
      <c r="B331" s="7">
        <v>2300.5</v>
      </c>
      <c r="C331" s="28">
        <v>2.3999999999999998E-3</v>
      </c>
    </row>
    <row r="332" spans="1:3" x14ac:dyDescent="0.3">
      <c r="A332" s="27">
        <v>45498</v>
      </c>
      <c r="B332" s="7">
        <v>2270.5</v>
      </c>
      <c r="C332" s="28">
        <v>-1.2999999999999999E-2</v>
      </c>
    </row>
    <row r="333" spans="1:3" x14ac:dyDescent="0.3">
      <c r="A333" s="27">
        <v>45499</v>
      </c>
      <c r="B333" s="7">
        <v>2289</v>
      </c>
      <c r="C333" s="28">
        <v>8.0999999999999996E-3</v>
      </c>
    </row>
    <row r="334" spans="1:3" x14ac:dyDescent="0.3">
      <c r="A334" s="27">
        <v>45502</v>
      </c>
      <c r="B334" s="7">
        <v>2250.5</v>
      </c>
      <c r="C334" s="28">
        <v>-1.6799999999999999E-2</v>
      </c>
    </row>
    <row r="335" spans="1:3" x14ac:dyDescent="0.3">
      <c r="A335" s="27">
        <v>45503</v>
      </c>
      <c r="B335" s="7">
        <v>2224.5</v>
      </c>
      <c r="C335" s="28">
        <v>-1.1599999999999999E-2</v>
      </c>
    </row>
    <row r="336" spans="1:3" x14ac:dyDescent="0.3">
      <c r="A336" s="27">
        <v>45504</v>
      </c>
      <c r="B336" s="7">
        <v>2290.5</v>
      </c>
      <c r="C336" s="28">
        <v>2.9700000000000001E-2</v>
      </c>
    </row>
    <row r="337" spans="1:3" x14ac:dyDescent="0.3">
      <c r="A337" s="27">
        <v>45505</v>
      </c>
      <c r="B337" s="7">
        <v>2296</v>
      </c>
      <c r="C337" s="28">
        <v>2.3999999999999998E-3</v>
      </c>
    </row>
    <row r="338" spans="1:3" x14ac:dyDescent="0.3">
      <c r="A338" s="27">
        <v>45506</v>
      </c>
      <c r="B338" s="7">
        <v>2263.5</v>
      </c>
      <c r="C338" s="28">
        <v>-1.4200000000000001E-2</v>
      </c>
    </row>
    <row r="339" spans="1:3" x14ac:dyDescent="0.3">
      <c r="A339" s="27">
        <v>45509</v>
      </c>
      <c r="B339" s="7">
        <v>2250</v>
      </c>
      <c r="C339" s="28">
        <v>-6.0000000000000001E-3</v>
      </c>
    </row>
    <row r="340" spans="1:3" x14ac:dyDescent="0.3">
      <c r="A340" s="27">
        <v>45510</v>
      </c>
      <c r="B340" s="7">
        <v>2296</v>
      </c>
      <c r="C340" s="28">
        <v>2.0400000000000001E-2</v>
      </c>
    </row>
    <row r="341" spans="1:3" x14ac:dyDescent="0.3">
      <c r="A341" s="27">
        <v>45511</v>
      </c>
      <c r="B341" s="7">
        <v>2288</v>
      </c>
      <c r="C341" s="28">
        <v>-3.5000000000000001E-3</v>
      </c>
    </row>
    <row r="342" spans="1:3" x14ac:dyDescent="0.3">
      <c r="A342" s="27">
        <v>45512</v>
      </c>
      <c r="B342" s="7">
        <v>2274</v>
      </c>
      <c r="C342" s="28">
        <v>-6.1000000000000004E-3</v>
      </c>
    </row>
    <row r="343" spans="1:3" x14ac:dyDescent="0.3">
      <c r="A343" s="27">
        <v>45513</v>
      </c>
      <c r="B343" s="7">
        <v>2301.5</v>
      </c>
      <c r="C343" s="28">
        <v>1.21E-2</v>
      </c>
    </row>
    <row r="344" spans="1:3" x14ac:dyDescent="0.3">
      <c r="A344" s="27">
        <v>45516</v>
      </c>
      <c r="B344" s="7">
        <v>2305.5</v>
      </c>
      <c r="C344" s="28">
        <v>1.6999999999999999E-3</v>
      </c>
    </row>
    <row r="345" spans="1:3" x14ac:dyDescent="0.3">
      <c r="A345" s="27">
        <v>45517</v>
      </c>
      <c r="B345" s="7">
        <v>2332</v>
      </c>
      <c r="C345" s="28">
        <v>1.15E-2</v>
      </c>
    </row>
    <row r="346" spans="1:3" x14ac:dyDescent="0.3">
      <c r="A346" s="27">
        <v>45518</v>
      </c>
      <c r="B346" s="7">
        <v>2335.5</v>
      </c>
      <c r="C346" s="28">
        <v>1.5E-3</v>
      </c>
    </row>
    <row r="347" spans="1:3" x14ac:dyDescent="0.3">
      <c r="A347" s="27">
        <v>45519</v>
      </c>
      <c r="B347" s="7">
        <v>2363.5</v>
      </c>
      <c r="C347" s="28">
        <v>1.2E-2</v>
      </c>
    </row>
    <row r="348" spans="1:3" x14ac:dyDescent="0.3">
      <c r="A348" s="27">
        <v>45520</v>
      </c>
      <c r="B348" s="7">
        <v>2365.5</v>
      </c>
      <c r="C348" s="28">
        <v>8.0000000000000004E-4</v>
      </c>
    </row>
    <row r="349" spans="1:3" x14ac:dyDescent="0.3">
      <c r="A349" s="27">
        <v>45523</v>
      </c>
      <c r="B349" s="7">
        <v>2445.5</v>
      </c>
      <c r="C349" s="28">
        <v>3.3799999999999997E-2</v>
      </c>
    </row>
    <row r="350" spans="1:3" x14ac:dyDescent="0.3">
      <c r="A350" s="27">
        <v>45524</v>
      </c>
      <c r="B350" s="7">
        <v>2502</v>
      </c>
      <c r="C350" s="28">
        <v>2.3099999999999999E-2</v>
      </c>
    </row>
    <row r="351" spans="1:3" x14ac:dyDescent="0.3">
      <c r="A351" s="27">
        <v>45525</v>
      </c>
      <c r="B351" s="7">
        <v>2487</v>
      </c>
      <c r="C351" s="28">
        <v>-6.0000000000000001E-3</v>
      </c>
    </row>
    <row r="352" spans="1:3" x14ac:dyDescent="0.3">
      <c r="A352" s="27">
        <v>45526</v>
      </c>
      <c r="B352" s="7">
        <v>2480</v>
      </c>
      <c r="C352" s="28">
        <v>-2.8E-3</v>
      </c>
    </row>
    <row r="353" spans="1:3" x14ac:dyDescent="0.3">
      <c r="A353" s="27">
        <v>45527</v>
      </c>
      <c r="B353" s="7">
        <v>2542</v>
      </c>
      <c r="C353" s="28">
        <v>2.5000000000000001E-2</v>
      </c>
    </row>
    <row r="354" spans="1:3" x14ac:dyDescent="0.3">
      <c r="A354" s="27">
        <v>45531</v>
      </c>
      <c r="B354" s="7">
        <v>2549.5</v>
      </c>
      <c r="C354" s="28">
        <v>3.0000000000000001E-3</v>
      </c>
    </row>
    <row r="355" spans="1:3" x14ac:dyDescent="0.3">
      <c r="A355" s="27">
        <v>45532</v>
      </c>
      <c r="B355" s="7">
        <v>2496</v>
      </c>
      <c r="C355" s="28">
        <v>-2.1000000000000001E-2</v>
      </c>
    </row>
    <row r="356" spans="1:3" x14ac:dyDescent="0.3">
      <c r="A356" s="27">
        <v>45533</v>
      </c>
      <c r="B356" s="7">
        <v>2457.5</v>
      </c>
      <c r="C356" s="28">
        <v>-1.54E-2</v>
      </c>
    </row>
    <row r="357" spans="1:3" x14ac:dyDescent="0.3">
      <c r="A357" s="27">
        <v>45534</v>
      </c>
      <c r="B357" s="7">
        <v>2447</v>
      </c>
      <c r="C357" s="28">
        <v>-4.3E-3</v>
      </c>
    </row>
    <row r="358" spans="1:3" x14ac:dyDescent="0.3">
      <c r="A358" s="27">
        <v>45537</v>
      </c>
      <c r="B358" s="7">
        <v>2424</v>
      </c>
      <c r="C358" s="28">
        <v>-9.4000000000000004E-3</v>
      </c>
    </row>
    <row r="359" spans="1:3" x14ac:dyDescent="0.3">
      <c r="A359" s="27">
        <v>45538</v>
      </c>
      <c r="B359" s="7">
        <v>2407.5</v>
      </c>
      <c r="C359" s="28">
        <v>-6.7999999999999996E-3</v>
      </c>
    </row>
    <row r="360" spans="1:3" x14ac:dyDescent="0.3">
      <c r="A360" s="27">
        <v>45539</v>
      </c>
      <c r="B360" s="7">
        <v>2396.5</v>
      </c>
      <c r="C360" s="28">
        <v>-4.5999999999999999E-3</v>
      </c>
    </row>
    <row r="361" spans="1:3" x14ac:dyDescent="0.3">
      <c r="A361" s="27">
        <v>45540</v>
      </c>
      <c r="B361" s="7">
        <v>2378.5</v>
      </c>
      <c r="C361" s="28">
        <v>-7.4999999999999997E-3</v>
      </c>
    </row>
    <row r="362" spans="1:3" x14ac:dyDescent="0.3">
      <c r="A362" s="27">
        <v>45541</v>
      </c>
      <c r="B362" s="7">
        <v>2342</v>
      </c>
      <c r="C362" s="28">
        <v>-1.5299999999999999E-2</v>
      </c>
    </row>
    <row r="363" spans="1:3" x14ac:dyDescent="0.3">
      <c r="A363" s="27">
        <v>45544</v>
      </c>
      <c r="B363" s="7">
        <v>2350.5</v>
      </c>
      <c r="C363" s="28">
        <v>3.5999999999999999E-3</v>
      </c>
    </row>
    <row r="364" spans="1:3" x14ac:dyDescent="0.3">
      <c r="A364" s="27">
        <v>45545</v>
      </c>
      <c r="B364" s="7">
        <v>2336.5</v>
      </c>
      <c r="C364" s="28">
        <v>-6.0000000000000001E-3</v>
      </c>
    </row>
    <row r="365" spans="1:3" x14ac:dyDescent="0.3">
      <c r="A365" s="27">
        <v>45546</v>
      </c>
      <c r="B365" s="7">
        <v>2370.5</v>
      </c>
      <c r="C365" s="28">
        <v>1.46E-2</v>
      </c>
    </row>
    <row r="366" spans="1:3" x14ac:dyDescent="0.3">
      <c r="A366" s="27">
        <v>45547</v>
      </c>
      <c r="B366" s="7">
        <v>2415.5</v>
      </c>
      <c r="C366" s="28">
        <v>1.9E-2</v>
      </c>
    </row>
    <row r="367" spans="1:3" x14ac:dyDescent="0.3">
      <c r="A367" s="27">
        <v>45548</v>
      </c>
      <c r="B367" s="7">
        <v>2471</v>
      </c>
      <c r="C367" s="28">
        <v>2.3E-2</v>
      </c>
    </row>
    <row r="368" spans="1:3" x14ac:dyDescent="0.3">
      <c r="A368" s="27">
        <v>45551</v>
      </c>
      <c r="B368" s="7">
        <v>2528.5</v>
      </c>
      <c r="C368" s="28">
        <v>2.3300000000000001E-2</v>
      </c>
    </row>
    <row r="369" spans="1:3" x14ac:dyDescent="0.3">
      <c r="A369" s="27">
        <v>45552</v>
      </c>
      <c r="B369" s="7">
        <v>2524</v>
      </c>
      <c r="C369" s="28">
        <v>-1.8E-3</v>
      </c>
    </row>
    <row r="370" spans="1:3" x14ac:dyDescent="0.3">
      <c r="A370" s="27">
        <v>45553</v>
      </c>
      <c r="B370" s="7">
        <v>2536.5</v>
      </c>
      <c r="C370" s="28">
        <v>5.0000000000000001E-3</v>
      </c>
    </row>
    <row r="371" spans="1:3" x14ac:dyDescent="0.3">
      <c r="A371" s="27">
        <v>45554</v>
      </c>
      <c r="B371" s="7">
        <v>2539.5</v>
      </c>
      <c r="C371" s="28">
        <v>1.1999999999999999E-3</v>
      </c>
    </row>
    <row r="372" spans="1:3" x14ac:dyDescent="0.3">
      <c r="A372" s="27">
        <v>45555</v>
      </c>
      <c r="B372" s="7">
        <v>2485</v>
      </c>
      <c r="C372" s="28">
        <v>-2.1499999999999998E-2</v>
      </c>
    </row>
    <row r="373" spans="1:3" x14ac:dyDescent="0.3">
      <c r="A373" s="27">
        <v>45558</v>
      </c>
      <c r="B373" s="7">
        <v>2494.5</v>
      </c>
      <c r="C373" s="28">
        <v>3.8E-3</v>
      </c>
    </row>
    <row r="374" spans="1:3" x14ac:dyDescent="0.3">
      <c r="A374" s="27">
        <v>45559</v>
      </c>
      <c r="B374" s="7">
        <v>2556</v>
      </c>
      <c r="C374" s="28">
        <v>2.47E-2</v>
      </c>
    </row>
    <row r="375" spans="1:3" x14ac:dyDescent="0.3">
      <c r="A375" s="27">
        <v>45560</v>
      </c>
      <c r="B375" s="7">
        <v>2538.5</v>
      </c>
      <c r="C375" s="28">
        <v>-6.7999999999999996E-3</v>
      </c>
    </row>
    <row r="376" spans="1:3" x14ac:dyDescent="0.3">
      <c r="A376" s="27">
        <v>45561</v>
      </c>
      <c r="B376" s="7">
        <v>2611.5</v>
      </c>
      <c r="C376" s="28">
        <v>2.8799999999999999E-2</v>
      </c>
    </row>
    <row r="377" spans="1:3" x14ac:dyDescent="0.3">
      <c r="A377" s="27">
        <v>45562</v>
      </c>
      <c r="B377" s="7">
        <v>2646.5</v>
      </c>
      <c r="C377" s="28">
        <v>1.34E-2</v>
      </c>
    </row>
    <row r="378" spans="1:3" x14ac:dyDescent="0.3">
      <c r="A378" s="27">
        <v>45565</v>
      </c>
      <c r="B378" s="7">
        <v>2611.5</v>
      </c>
      <c r="C378" s="28">
        <v>-1.32E-2</v>
      </c>
    </row>
    <row r="379" spans="1:3" x14ac:dyDescent="0.3">
      <c r="A379" s="27">
        <v>45566</v>
      </c>
      <c r="B379" s="7">
        <v>2648</v>
      </c>
      <c r="C379" s="28">
        <v>1.4E-2</v>
      </c>
    </row>
    <row r="380" spans="1:3" x14ac:dyDescent="0.3">
      <c r="A380" s="27">
        <v>45567</v>
      </c>
      <c r="B380" s="7">
        <v>2678.5</v>
      </c>
      <c r="C380" s="28">
        <v>1.15E-2</v>
      </c>
    </row>
    <row r="381" spans="1:3" x14ac:dyDescent="0.3">
      <c r="A381" s="27">
        <v>45568</v>
      </c>
      <c r="B381" s="7">
        <v>2629</v>
      </c>
      <c r="C381" s="28">
        <v>-1.8499999999999999E-2</v>
      </c>
    </row>
    <row r="382" spans="1:3" x14ac:dyDescent="0.3">
      <c r="A382" s="27">
        <v>45569</v>
      </c>
      <c r="B382" s="7">
        <v>2653</v>
      </c>
      <c r="C382" s="28">
        <v>9.1000000000000004E-3</v>
      </c>
    </row>
    <row r="383" spans="1:3" x14ac:dyDescent="0.3">
      <c r="A383" s="27">
        <v>45572</v>
      </c>
      <c r="B383" s="7">
        <v>2658</v>
      </c>
      <c r="C383" s="28">
        <v>1.9E-3</v>
      </c>
    </row>
    <row r="384" spans="1:3" x14ac:dyDescent="0.3">
      <c r="A384" s="27">
        <v>45573</v>
      </c>
      <c r="B384" s="7">
        <v>2571</v>
      </c>
      <c r="C384" s="28">
        <v>-3.27E-2</v>
      </c>
    </row>
    <row r="385" spans="1:3" x14ac:dyDescent="0.3">
      <c r="A385" s="27">
        <v>45574</v>
      </c>
      <c r="B385" s="7">
        <v>2541</v>
      </c>
      <c r="C385" s="28">
        <v>-1.17E-2</v>
      </c>
    </row>
    <row r="386" spans="1:3" x14ac:dyDescent="0.3">
      <c r="A386" s="27">
        <v>45575</v>
      </c>
      <c r="B386" s="7">
        <v>2586</v>
      </c>
      <c r="C386" s="28">
        <v>1.77E-2</v>
      </c>
    </row>
    <row r="387" spans="1:3" x14ac:dyDescent="0.3">
      <c r="A387" s="27">
        <v>45576</v>
      </c>
      <c r="B387" s="7">
        <v>2632.5</v>
      </c>
      <c r="C387" s="28">
        <v>1.7999999999999999E-2</v>
      </c>
    </row>
    <row r="388" spans="1:3" x14ac:dyDescent="0.3">
      <c r="A388" s="27">
        <v>45579</v>
      </c>
      <c r="B388" s="7">
        <v>2594</v>
      </c>
      <c r="C388" s="28">
        <v>-1.46E-2</v>
      </c>
    </row>
    <row r="389" spans="1:3" x14ac:dyDescent="0.3">
      <c r="A389" s="27">
        <v>45580</v>
      </c>
      <c r="B389" s="7">
        <v>2570.5</v>
      </c>
      <c r="C389" s="28">
        <v>-9.1000000000000004E-3</v>
      </c>
    </row>
    <row r="390" spans="1:3" x14ac:dyDescent="0.3">
      <c r="A390" s="27">
        <v>45581</v>
      </c>
      <c r="B390" s="7">
        <v>2584</v>
      </c>
      <c r="C390" s="28">
        <v>5.3E-3</v>
      </c>
    </row>
    <row r="391" spans="1:3" x14ac:dyDescent="0.3">
      <c r="A391" s="27">
        <v>45582</v>
      </c>
      <c r="B391" s="7">
        <v>2553.5</v>
      </c>
      <c r="C391" s="28">
        <v>-1.18E-2</v>
      </c>
    </row>
    <row r="392" spans="1:3" x14ac:dyDescent="0.3">
      <c r="A392" s="27">
        <v>45583</v>
      </c>
      <c r="B392" s="7">
        <v>2612</v>
      </c>
      <c r="C392" s="28">
        <v>2.29E-2</v>
      </c>
    </row>
    <row r="393" spans="1:3" x14ac:dyDescent="0.3">
      <c r="A393" s="27">
        <v>45586</v>
      </c>
      <c r="B393" s="7">
        <v>2595.5</v>
      </c>
      <c r="C393" s="28">
        <v>-6.3E-3</v>
      </c>
    </row>
    <row r="394" spans="1:3" x14ac:dyDescent="0.3">
      <c r="A394" s="27">
        <v>45587</v>
      </c>
      <c r="B394" s="7">
        <v>2633.5</v>
      </c>
      <c r="C394" s="28">
        <v>1.46E-2</v>
      </c>
    </row>
    <row r="395" spans="1:3" x14ac:dyDescent="0.3">
      <c r="A395" s="27">
        <v>45588</v>
      </c>
      <c r="B395" s="7">
        <v>2669.5</v>
      </c>
      <c r="C395" s="28">
        <v>1.37E-2</v>
      </c>
    </row>
    <row r="396" spans="1:3" x14ac:dyDescent="0.3">
      <c r="A396" s="27">
        <v>45589</v>
      </c>
      <c r="B396" s="7">
        <v>2650</v>
      </c>
      <c r="C396" s="28">
        <v>-7.3000000000000001E-3</v>
      </c>
    </row>
    <row r="397" spans="1:3" x14ac:dyDescent="0.3">
      <c r="A397" s="27">
        <v>45590</v>
      </c>
      <c r="B397" s="7">
        <v>2677.5</v>
      </c>
      <c r="C397" s="28">
        <v>1.04E-2</v>
      </c>
    </row>
    <row r="398" spans="1:3" x14ac:dyDescent="0.3">
      <c r="A398" s="27">
        <v>45593</v>
      </c>
      <c r="B398" s="7">
        <v>2645.5</v>
      </c>
      <c r="C398" s="28">
        <v>-1.2E-2</v>
      </c>
    </row>
    <row r="399" spans="1:3" x14ac:dyDescent="0.3">
      <c r="A399" s="27">
        <v>45594</v>
      </c>
      <c r="B399" s="7">
        <v>2659</v>
      </c>
      <c r="C399" s="28">
        <v>5.1000000000000004E-3</v>
      </c>
    </row>
    <row r="400" spans="1:3" x14ac:dyDescent="0.3">
      <c r="A400" s="27">
        <v>45595</v>
      </c>
      <c r="B400" s="7">
        <v>2616</v>
      </c>
      <c r="C400" s="28">
        <v>-1.6199999999999999E-2</v>
      </c>
    </row>
    <row r="401" spans="1:3" x14ac:dyDescent="0.3">
      <c r="A401" s="27">
        <v>45596</v>
      </c>
      <c r="B401" s="7">
        <v>2617.5</v>
      </c>
      <c r="C401" s="28">
        <v>5.9999999999999995E-4</v>
      </c>
    </row>
    <row r="402" spans="1:3" x14ac:dyDescent="0.3">
      <c r="A402" s="27">
        <v>45597</v>
      </c>
      <c r="B402" s="7">
        <v>2600</v>
      </c>
      <c r="C402" s="28">
        <v>-6.7000000000000002E-3</v>
      </c>
    </row>
    <row r="403" spans="1:3" x14ac:dyDescent="0.3">
      <c r="A403" s="27">
        <v>45600</v>
      </c>
      <c r="B403" s="7">
        <v>2620</v>
      </c>
      <c r="C403" s="28">
        <v>7.7000000000000002E-3</v>
      </c>
    </row>
    <row r="404" spans="1:3" x14ac:dyDescent="0.3">
      <c r="A404" s="27">
        <v>45601</v>
      </c>
      <c r="B404" s="7">
        <v>2660</v>
      </c>
      <c r="C404" s="28">
        <v>1.5299999999999999E-2</v>
      </c>
    </row>
    <row r="405" spans="1:3" x14ac:dyDescent="0.3">
      <c r="A405" s="27">
        <v>45602</v>
      </c>
      <c r="B405" s="7">
        <v>2615.5</v>
      </c>
      <c r="C405" s="28">
        <v>-1.67E-2</v>
      </c>
    </row>
    <row r="406" spans="1:3" x14ac:dyDescent="0.3">
      <c r="A406" s="27">
        <v>45603</v>
      </c>
      <c r="B406" s="7">
        <v>2694.5</v>
      </c>
      <c r="C406" s="28">
        <v>3.0200000000000001E-2</v>
      </c>
    </row>
    <row r="407" spans="1:3" x14ac:dyDescent="0.3">
      <c r="A407" s="27">
        <v>45604</v>
      </c>
      <c r="B407" s="7">
        <v>2620.5</v>
      </c>
      <c r="C407" s="28">
        <v>-2.75E-2</v>
      </c>
    </row>
    <row r="408" spans="1:3" x14ac:dyDescent="0.3">
      <c r="A408" s="27">
        <v>45607</v>
      </c>
      <c r="B408" s="7">
        <v>2586.5</v>
      </c>
      <c r="C408" s="28">
        <v>-1.2999999999999999E-2</v>
      </c>
    </row>
    <row r="409" spans="1:3" x14ac:dyDescent="0.3">
      <c r="A409" s="27">
        <v>45608</v>
      </c>
      <c r="B409" s="7">
        <v>2563</v>
      </c>
      <c r="C409" s="28">
        <v>-9.1000000000000004E-3</v>
      </c>
    </row>
    <row r="410" spans="1:3" x14ac:dyDescent="0.3">
      <c r="A410" s="27">
        <v>45609</v>
      </c>
      <c r="B410" s="7">
        <v>2530.5</v>
      </c>
      <c r="C410" s="28">
        <v>-1.2699999999999999E-2</v>
      </c>
    </row>
    <row r="411" spans="1:3" x14ac:dyDescent="0.3">
      <c r="A411" s="27">
        <v>45610</v>
      </c>
      <c r="B411" s="7">
        <v>2516.5</v>
      </c>
      <c r="C411" s="28">
        <v>-5.4999999999999997E-3</v>
      </c>
    </row>
    <row r="412" spans="1:3" x14ac:dyDescent="0.3">
      <c r="A412" s="27">
        <v>45611</v>
      </c>
      <c r="B412" s="7">
        <v>2649.5</v>
      </c>
      <c r="C412" s="28">
        <v>5.2900000000000003E-2</v>
      </c>
    </row>
    <row r="413" spans="1:3" x14ac:dyDescent="0.3">
      <c r="A413" s="27">
        <v>45614</v>
      </c>
      <c r="B413" s="7">
        <v>2607.5</v>
      </c>
      <c r="C413" s="28">
        <v>-1.5900000000000001E-2</v>
      </c>
    </row>
    <row r="414" spans="1:3" x14ac:dyDescent="0.3">
      <c r="A414" s="27">
        <v>45615</v>
      </c>
      <c r="B414" s="7">
        <v>2644.5</v>
      </c>
      <c r="C414" s="28">
        <v>1.4200000000000001E-2</v>
      </c>
    </row>
    <row r="415" spans="1:3" x14ac:dyDescent="0.3">
      <c r="A415" s="27">
        <v>45616</v>
      </c>
      <c r="B415" s="7">
        <v>2644</v>
      </c>
      <c r="C415" s="28">
        <v>-2.0000000000000001E-4</v>
      </c>
    </row>
    <row r="416" spans="1:3" x14ac:dyDescent="0.3">
      <c r="A416" s="27">
        <v>45617</v>
      </c>
      <c r="B416" s="7">
        <v>2631.5</v>
      </c>
      <c r="C416" s="28">
        <v>-4.7000000000000002E-3</v>
      </c>
    </row>
    <row r="417" spans="1:3" x14ac:dyDescent="0.3">
      <c r="A417" s="27">
        <v>45618</v>
      </c>
      <c r="B417" s="7">
        <v>2624</v>
      </c>
      <c r="C417" s="28">
        <v>-2.8999999999999998E-3</v>
      </c>
    </row>
    <row r="418" spans="1:3" x14ac:dyDescent="0.3">
      <c r="A418" s="27">
        <v>45621</v>
      </c>
      <c r="B418" s="7">
        <v>2652</v>
      </c>
      <c r="C418" s="28">
        <v>1.0699999999999999E-2</v>
      </c>
    </row>
    <row r="419" spans="1:3" x14ac:dyDescent="0.3">
      <c r="A419" s="27">
        <v>45622</v>
      </c>
      <c r="B419" s="7">
        <v>2612.5</v>
      </c>
      <c r="C419" s="28">
        <v>-1.49E-2</v>
      </c>
    </row>
    <row r="420" spans="1:3" x14ac:dyDescent="0.3">
      <c r="A420" s="27">
        <v>45623</v>
      </c>
      <c r="B420" s="7">
        <v>2595.5</v>
      </c>
      <c r="C420" s="28">
        <v>-6.4999999999999997E-3</v>
      </c>
    </row>
    <row r="421" spans="1:3" x14ac:dyDescent="0.3">
      <c r="A421" s="27">
        <v>45624</v>
      </c>
      <c r="B421" s="7">
        <v>2599</v>
      </c>
      <c r="C421" s="28">
        <v>1.2999999999999999E-3</v>
      </c>
    </row>
    <row r="422" spans="1:3" x14ac:dyDescent="0.3">
      <c r="A422" s="27">
        <v>45625</v>
      </c>
      <c r="B422" s="7">
        <v>2594</v>
      </c>
      <c r="C422" s="28">
        <v>-1.9E-3</v>
      </c>
    </row>
    <row r="423" spans="1:3" x14ac:dyDescent="0.3">
      <c r="A423" s="27">
        <v>45628</v>
      </c>
      <c r="B423" s="7">
        <v>2590</v>
      </c>
      <c r="C423" s="28">
        <v>-1.5E-3</v>
      </c>
    </row>
    <row r="424" spans="1:3" x14ac:dyDescent="0.3">
      <c r="A424" s="27">
        <v>45629</v>
      </c>
      <c r="B424" s="7">
        <v>2609.5</v>
      </c>
      <c r="C424" s="28">
        <v>7.4999999999999997E-3</v>
      </c>
    </row>
    <row r="425" spans="1:3" x14ac:dyDescent="0.3">
      <c r="A425" s="27">
        <v>45630</v>
      </c>
      <c r="B425" s="7">
        <v>2646.5</v>
      </c>
      <c r="C425" s="28">
        <v>1.4200000000000001E-2</v>
      </c>
    </row>
    <row r="426" spans="1:3" x14ac:dyDescent="0.3">
      <c r="A426" s="27">
        <v>45631</v>
      </c>
      <c r="B426" s="7">
        <v>2639</v>
      </c>
      <c r="C426" s="28">
        <v>-2.8E-3</v>
      </c>
    </row>
    <row r="427" spans="1:3" x14ac:dyDescent="0.3">
      <c r="A427" s="27">
        <v>45632</v>
      </c>
      <c r="B427" s="7">
        <v>2603.5</v>
      </c>
      <c r="C427" s="28">
        <v>-1.35E-2</v>
      </c>
    </row>
    <row r="428" spans="1:3" x14ac:dyDescent="0.3">
      <c r="A428" s="27">
        <v>45635</v>
      </c>
      <c r="B428" s="7">
        <v>2588</v>
      </c>
      <c r="C428" s="28">
        <v>-6.0000000000000001E-3</v>
      </c>
    </row>
    <row r="429" spans="1:3" x14ac:dyDescent="0.3">
      <c r="A429" s="27">
        <v>45636</v>
      </c>
      <c r="B429" s="7">
        <v>2608.5</v>
      </c>
      <c r="C429" s="28">
        <v>7.9000000000000008E-3</v>
      </c>
    </row>
    <row r="430" spans="1:3" x14ac:dyDescent="0.3">
      <c r="A430" s="27">
        <v>45637</v>
      </c>
      <c r="B430" s="7">
        <v>2601</v>
      </c>
      <c r="C430" s="28">
        <v>-2.8999999999999998E-3</v>
      </c>
    </row>
    <row r="431" spans="1:3" x14ac:dyDescent="0.3">
      <c r="A431" s="27">
        <v>45638</v>
      </c>
      <c r="B431" s="7">
        <v>2599.5</v>
      </c>
      <c r="C431" s="28">
        <v>-5.9999999999999995E-4</v>
      </c>
    </row>
    <row r="432" spans="1:3" x14ac:dyDescent="0.3">
      <c r="A432" s="27">
        <v>45639</v>
      </c>
      <c r="B432" s="7">
        <v>2605</v>
      </c>
      <c r="C432" s="28">
        <v>2.0999999999999999E-3</v>
      </c>
    </row>
    <row r="433" spans="1:3" x14ac:dyDescent="0.3">
      <c r="A433" s="27">
        <v>45642</v>
      </c>
      <c r="B433" s="7">
        <v>2566.5</v>
      </c>
      <c r="C433" s="28">
        <v>-1.4800000000000001E-2</v>
      </c>
    </row>
    <row r="434" spans="1:3" x14ac:dyDescent="0.3">
      <c r="A434" s="27">
        <v>45643</v>
      </c>
      <c r="B434" s="7">
        <v>2542.5</v>
      </c>
      <c r="C434" s="28">
        <v>-9.4000000000000004E-3</v>
      </c>
    </row>
    <row r="435" spans="1:3" x14ac:dyDescent="0.3">
      <c r="A435" s="27">
        <v>45644</v>
      </c>
      <c r="B435" s="7">
        <v>2528.5</v>
      </c>
      <c r="C435" s="28">
        <v>-5.4999999999999997E-3</v>
      </c>
    </row>
    <row r="436" spans="1:3" x14ac:dyDescent="0.3">
      <c r="A436" s="27">
        <v>45645</v>
      </c>
      <c r="B436" s="7">
        <v>2507</v>
      </c>
      <c r="C436" s="28">
        <v>-8.5000000000000006E-3</v>
      </c>
    </row>
    <row r="437" spans="1:3" x14ac:dyDescent="0.3">
      <c r="A437" s="27">
        <v>45646</v>
      </c>
      <c r="B437" s="7">
        <v>2534.5</v>
      </c>
      <c r="C437" s="28">
        <v>1.0999999999999999E-2</v>
      </c>
    </row>
    <row r="438" spans="1:3" x14ac:dyDescent="0.3">
      <c r="A438" s="27">
        <v>45649</v>
      </c>
      <c r="B438" s="7">
        <v>2527</v>
      </c>
      <c r="C438" s="28">
        <v>-3.0000000000000001E-3</v>
      </c>
    </row>
    <row r="439" spans="1:3" x14ac:dyDescent="0.3">
      <c r="A439" s="27">
        <v>45650</v>
      </c>
      <c r="B439" s="7">
        <v>2565</v>
      </c>
      <c r="C439" s="28">
        <v>1.4999999999999999E-2</v>
      </c>
    </row>
    <row r="440" spans="1:3" x14ac:dyDescent="0.3">
      <c r="A440" s="27">
        <v>45653</v>
      </c>
      <c r="B440" s="7">
        <v>2558</v>
      </c>
      <c r="C440" s="28">
        <v>-2.7000000000000001E-3</v>
      </c>
    </row>
    <row r="441" spans="1:3" x14ac:dyDescent="0.3">
      <c r="A441" s="27">
        <v>45656</v>
      </c>
      <c r="B441" s="7">
        <v>2551</v>
      </c>
      <c r="C441" s="28">
        <v>-2.7000000000000001E-3</v>
      </c>
    </row>
    <row r="442" spans="1:3" x14ac:dyDescent="0.3">
      <c r="A442" s="27">
        <v>45657</v>
      </c>
      <c r="B442" s="7">
        <v>2551.5</v>
      </c>
      <c r="C442" s="28">
        <v>2.0000000000000001E-4</v>
      </c>
    </row>
    <row r="443" spans="1:3" x14ac:dyDescent="0.3">
      <c r="A443" s="27">
        <v>45659</v>
      </c>
      <c r="B443" s="7">
        <v>2529</v>
      </c>
      <c r="C443" s="28">
        <v>-8.8000000000000005E-3</v>
      </c>
    </row>
    <row r="444" spans="1:3" x14ac:dyDescent="0.3">
      <c r="A444" s="27">
        <v>45660</v>
      </c>
      <c r="B444" s="7">
        <v>2493.5</v>
      </c>
      <c r="C444" s="28">
        <v>-1.4E-2</v>
      </c>
    </row>
    <row r="445" spans="1:3" x14ac:dyDescent="0.3">
      <c r="A445" s="27">
        <v>45663</v>
      </c>
      <c r="B445" s="7">
        <v>2490</v>
      </c>
      <c r="C445" s="28">
        <v>-1.4E-3</v>
      </c>
    </row>
    <row r="446" spans="1:3" x14ac:dyDescent="0.3">
      <c r="A446" s="27">
        <v>45664</v>
      </c>
      <c r="B446" s="7">
        <v>2517.5</v>
      </c>
      <c r="C446" s="28">
        <v>1.0999999999999999E-2</v>
      </c>
    </row>
    <row r="447" spans="1:3" x14ac:dyDescent="0.3">
      <c r="A447" s="27">
        <v>45665</v>
      </c>
      <c r="B447" s="7">
        <v>2498.5</v>
      </c>
      <c r="C447" s="28">
        <v>-7.4999999999999997E-3</v>
      </c>
    </row>
    <row r="448" spans="1:3" x14ac:dyDescent="0.3">
      <c r="A448" s="27">
        <v>45666</v>
      </c>
      <c r="B448" s="7">
        <v>2539</v>
      </c>
      <c r="C448" s="28">
        <v>1.6199999999999999E-2</v>
      </c>
    </row>
    <row r="449" spans="1:3" x14ac:dyDescent="0.3">
      <c r="A449" s="27">
        <v>45667</v>
      </c>
      <c r="B449" s="7">
        <v>2571.5</v>
      </c>
      <c r="C449" s="28">
        <v>1.2800000000000001E-2</v>
      </c>
    </row>
    <row r="450" spans="1:3" x14ac:dyDescent="0.3">
      <c r="A450" s="27">
        <v>45670</v>
      </c>
      <c r="B450" s="7">
        <v>2578.5</v>
      </c>
      <c r="C450" s="28">
        <v>2.7000000000000001E-3</v>
      </c>
    </row>
    <row r="451" spans="1:3" x14ac:dyDescent="0.3">
      <c r="A451" s="27">
        <v>45671</v>
      </c>
      <c r="B451" s="7">
        <v>2560</v>
      </c>
      <c r="C451" s="28">
        <v>-7.1999999999999998E-3</v>
      </c>
    </row>
    <row r="452" spans="1:3" x14ac:dyDescent="0.3">
      <c r="A452" s="27">
        <v>45672</v>
      </c>
      <c r="B452" s="7">
        <v>2601.5</v>
      </c>
      <c r="C452" s="28">
        <v>1.6199999999999999E-2</v>
      </c>
    </row>
    <row r="453" spans="1:3" x14ac:dyDescent="0.3">
      <c r="A453" s="27">
        <v>45673</v>
      </c>
      <c r="B453" s="7">
        <v>2635</v>
      </c>
      <c r="C453" s="28">
        <v>1.29E-2</v>
      </c>
    </row>
    <row r="454" spans="1:3" x14ac:dyDescent="0.3">
      <c r="A454" s="27">
        <v>45674</v>
      </c>
      <c r="B454" s="7">
        <v>2682</v>
      </c>
      <c r="C454" s="28">
        <v>1.78E-2</v>
      </c>
    </row>
    <row r="455" spans="1:3" x14ac:dyDescent="0.3">
      <c r="A455" s="27">
        <v>45677</v>
      </c>
      <c r="B455" s="7">
        <v>2691</v>
      </c>
      <c r="C455" s="28">
        <v>3.3999999999999998E-3</v>
      </c>
    </row>
    <row r="456" spans="1:3" x14ac:dyDescent="0.3">
      <c r="A456" s="27">
        <v>45678</v>
      </c>
      <c r="B456" s="7">
        <v>2652</v>
      </c>
      <c r="C456" s="28">
        <v>-1.4500000000000001E-2</v>
      </c>
    </row>
    <row r="457" spans="1:3" x14ac:dyDescent="0.3">
      <c r="A457" s="27">
        <v>45679</v>
      </c>
      <c r="B457" s="7">
        <v>2635</v>
      </c>
      <c r="C457" s="28">
        <v>-6.4000000000000003E-3</v>
      </c>
    </row>
    <row r="458" spans="1:3" x14ac:dyDescent="0.3">
      <c r="A458" s="27">
        <v>45680</v>
      </c>
      <c r="B458" s="7">
        <v>2631</v>
      </c>
      <c r="C458" s="28">
        <v>-1.5E-3</v>
      </c>
    </row>
    <row r="459" spans="1:3" x14ac:dyDescent="0.3">
      <c r="A459" s="27">
        <v>45681</v>
      </c>
      <c r="B459" s="7">
        <v>2637</v>
      </c>
      <c r="C459" s="28">
        <v>2.3E-3</v>
      </c>
    </row>
    <row r="460" spans="1:3" x14ac:dyDescent="0.3">
      <c r="A460" s="27">
        <v>45684</v>
      </c>
      <c r="B460" s="7">
        <v>2612</v>
      </c>
      <c r="C460" s="28">
        <v>-9.4999999999999998E-3</v>
      </c>
    </row>
    <row r="461" spans="1:3" x14ac:dyDescent="0.3">
      <c r="A461" s="27">
        <v>45685</v>
      </c>
      <c r="B461" s="7">
        <v>2576.5500000000002</v>
      </c>
      <c r="C461" s="28">
        <v>-1.3599999999999999E-2</v>
      </c>
    </row>
    <row r="462" spans="1:3" x14ac:dyDescent="0.3">
      <c r="A462" s="27">
        <v>45686</v>
      </c>
      <c r="B462" s="7">
        <v>2621.95</v>
      </c>
      <c r="C462" s="28">
        <v>1.7600000000000001E-2</v>
      </c>
    </row>
    <row r="463" spans="1:3" x14ac:dyDescent="0.3">
      <c r="A463" s="27">
        <v>45687</v>
      </c>
      <c r="B463" s="7">
        <v>2617.4499999999998</v>
      </c>
      <c r="C463" s="28">
        <v>-1.6999999999999999E-3</v>
      </c>
    </row>
    <row r="464" spans="1:3" x14ac:dyDescent="0.3">
      <c r="A464" s="27">
        <v>45688</v>
      </c>
      <c r="B464" s="7">
        <v>2595.3000000000002</v>
      </c>
      <c r="C464" s="28">
        <v>-8.5000000000000006E-3</v>
      </c>
    </row>
    <row r="465" spans="1:3" x14ac:dyDescent="0.3">
      <c r="A465" s="27">
        <v>45691</v>
      </c>
      <c r="B465" s="7">
        <v>2626.2</v>
      </c>
      <c r="C465" s="28">
        <v>1.1900000000000001E-2</v>
      </c>
    </row>
    <row r="466" spans="1:3" x14ac:dyDescent="0.3">
      <c r="A466" s="27">
        <v>45692</v>
      </c>
      <c r="B466" s="7">
        <v>2632.25</v>
      </c>
      <c r="C466" s="28">
        <v>2.3E-3</v>
      </c>
    </row>
    <row r="467" spans="1:3" x14ac:dyDescent="0.3">
      <c r="A467" s="27">
        <v>45693</v>
      </c>
      <c r="B467" s="7">
        <v>2625.65</v>
      </c>
      <c r="C467" s="28">
        <v>-2.5000000000000001E-3</v>
      </c>
    </row>
    <row r="468" spans="1:3" x14ac:dyDescent="0.3">
      <c r="A468" s="27">
        <v>45694</v>
      </c>
      <c r="B468" s="7">
        <v>2622.9</v>
      </c>
      <c r="C468" s="28">
        <v>-1E-3</v>
      </c>
    </row>
    <row r="469" spans="1:3" x14ac:dyDescent="0.3">
      <c r="A469" s="27">
        <v>45695</v>
      </c>
      <c r="B469" s="7">
        <v>2637.75</v>
      </c>
      <c r="C469" s="28">
        <v>5.7000000000000002E-3</v>
      </c>
    </row>
    <row r="470" spans="1:3" x14ac:dyDescent="0.3">
      <c r="A470" s="27">
        <v>45698</v>
      </c>
      <c r="B470" s="7">
        <v>2666.6</v>
      </c>
      <c r="C470" s="28">
        <v>1.09E-2</v>
      </c>
    </row>
    <row r="471" spans="1:3" x14ac:dyDescent="0.3">
      <c r="A471" s="27">
        <v>45699</v>
      </c>
      <c r="B471" s="7">
        <v>2639.05</v>
      </c>
      <c r="C471" s="28">
        <v>-1.03E-2</v>
      </c>
    </row>
    <row r="472" spans="1:3" x14ac:dyDescent="0.3">
      <c r="A472" s="27">
        <v>45700</v>
      </c>
      <c r="B472" s="7">
        <v>2629.3</v>
      </c>
      <c r="C472" s="28">
        <v>-3.7000000000000002E-3</v>
      </c>
    </row>
    <row r="473" spans="1:3" x14ac:dyDescent="0.3">
      <c r="A473" s="27">
        <v>45701</v>
      </c>
      <c r="B473" s="7">
        <v>2610.65</v>
      </c>
      <c r="C473" s="28">
        <v>-7.1000000000000004E-3</v>
      </c>
    </row>
    <row r="474" spans="1:3" x14ac:dyDescent="0.3">
      <c r="A474" s="27">
        <v>45702</v>
      </c>
      <c r="B474" s="7">
        <v>2638.95</v>
      </c>
      <c r="C474" s="28">
        <v>1.0800000000000001E-2</v>
      </c>
    </row>
    <row r="475" spans="1:3" x14ac:dyDescent="0.3">
      <c r="A475" s="27">
        <v>45705</v>
      </c>
      <c r="B475" s="7">
        <v>2650.15</v>
      </c>
      <c r="C475" s="28">
        <v>4.1999999999999997E-3</v>
      </c>
    </row>
    <row r="476" spans="1:3" x14ac:dyDescent="0.3">
      <c r="A476" s="27">
        <v>45706</v>
      </c>
      <c r="B476" s="7">
        <v>2670.45</v>
      </c>
      <c r="C476" s="28">
        <v>7.7000000000000002E-3</v>
      </c>
    </row>
    <row r="477" spans="1:3" x14ac:dyDescent="0.3">
      <c r="A477" s="27">
        <v>45707</v>
      </c>
      <c r="B477" s="7">
        <v>2683.9</v>
      </c>
      <c r="C477" s="28">
        <v>5.0000000000000001E-3</v>
      </c>
    </row>
    <row r="478" spans="1:3" x14ac:dyDescent="0.3">
      <c r="A478" s="27">
        <v>45708</v>
      </c>
      <c r="B478" s="7">
        <v>2728.8</v>
      </c>
      <c r="C478" s="28">
        <v>1.67E-2</v>
      </c>
    </row>
    <row r="479" spans="1:3" x14ac:dyDescent="0.3">
      <c r="A479" s="27">
        <v>45709</v>
      </c>
      <c r="B479" s="7">
        <v>2675.1</v>
      </c>
      <c r="C479" s="28">
        <v>-1.9699999999999999E-2</v>
      </c>
    </row>
    <row r="480" spans="1:3" x14ac:dyDescent="0.3">
      <c r="A480" s="27">
        <v>45712</v>
      </c>
      <c r="B480" s="7">
        <v>2656.3</v>
      </c>
      <c r="C480" s="28">
        <v>-7.0000000000000001E-3</v>
      </c>
    </row>
    <row r="481" spans="1:3" x14ac:dyDescent="0.3">
      <c r="A481" s="27">
        <v>45713</v>
      </c>
      <c r="B481" s="7">
        <v>2639.75</v>
      </c>
      <c r="C481" s="28">
        <v>-6.1999999999999998E-3</v>
      </c>
    </row>
    <row r="482" spans="1:3" x14ac:dyDescent="0.3">
      <c r="A482" s="27">
        <v>45714</v>
      </c>
      <c r="B482" s="7">
        <v>2632.3</v>
      </c>
      <c r="C482" s="28">
        <v>-2.8E-3</v>
      </c>
    </row>
    <row r="483" spans="1:3" x14ac:dyDescent="0.3">
      <c r="A483" s="27">
        <v>45715</v>
      </c>
      <c r="B483" s="7">
        <v>2636</v>
      </c>
      <c r="C483" s="28">
        <v>1.4E-3</v>
      </c>
    </row>
    <row r="484" spans="1:3" x14ac:dyDescent="0.3">
      <c r="A484" s="27">
        <v>45716</v>
      </c>
      <c r="B484" s="7">
        <v>2608.0500000000002</v>
      </c>
      <c r="C484" s="28">
        <v>-1.06E-2</v>
      </c>
    </row>
    <row r="485" spans="1:3" x14ac:dyDescent="0.3">
      <c r="A485" s="27">
        <v>45719</v>
      </c>
      <c r="B485" s="7">
        <v>2617.4499999999998</v>
      </c>
      <c r="C485" s="28">
        <v>3.5999999999999999E-3</v>
      </c>
    </row>
    <row r="486" spans="1:3" x14ac:dyDescent="0.3">
      <c r="A486" s="27">
        <v>45720</v>
      </c>
      <c r="B486" s="7">
        <v>2618.25</v>
      </c>
      <c r="C486" s="28">
        <v>2.9999999999999997E-4</v>
      </c>
    </row>
    <row r="487" spans="1:3" x14ac:dyDescent="0.3">
      <c r="A487" s="27">
        <v>45721</v>
      </c>
      <c r="B487" s="7">
        <v>2665.4</v>
      </c>
      <c r="C487" s="28">
        <v>1.7999999999999999E-2</v>
      </c>
    </row>
    <row r="488" spans="1:3" x14ac:dyDescent="0.3">
      <c r="A488" s="27">
        <v>45722</v>
      </c>
      <c r="B488" s="7">
        <v>2705.55</v>
      </c>
      <c r="C488" s="28">
        <v>1.5100000000000001E-2</v>
      </c>
    </row>
    <row r="489" spans="1:3" x14ac:dyDescent="0.3">
      <c r="A489" s="27">
        <v>45723</v>
      </c>
      <c r="B489" s="7">
        <v>2696.05</v>
      </c>
      <c r="C489" s="28">
        <v>-3.5000000000000001E-3</v>
      </c>
    </row>
    <row r="490" spans="1:3" x14ac:dyDescent="0.3">
      <c r="A490" s="27">
        <v>45726</v>
      </c>
      <c r="B490" s="7">
        <v>2690</v>
      </c>
      <c r="C490" s="28">
        <v>-2.2000000000000001E-3</v>
      </c>
    </row>
    <row r="491" spans="1:3" x14ac:dyDescent="0.3">
      <c r="A491" s="27">
        <v>45727</v>
      </c>
      <c r="B491" s="7">
        <v>2705</v>
      </c>
      <c r="C491" s="28">
        <v>5.5999999999999999E-3</v>
      </c>
    </row>
    <row r="492" spans="1:3" x14ac:dyDescent="0.3">
      <c r="A492" s="27">
        <v>45728</v>
      </c>
      <c r="B492" s="7">
        <v>2699</v>
      </c>
      <c r="C492" s="28">
        <v>-2.2000000000000001E-3</v>
      </c>
    </row>
    <row r="493" spans="1:3" x14ac:dyDescent="0.3">
      <c r="A493" s="27">
        <v>45729</v>
      </c>
      <c r="B493" s="7">
        <v>2702.9</v>
      </c>
      <c r="C493" s="28">
        <v>1.4E-3</v>
      </c>
    </row>
    <row r="494" spans="1:3" x14ac:dyDescent="0.3">
      <c r="A494" s="27">
        <v>45730</v>
      </c>
      <c r="B494" s="7">
        <v>2682</v>
      </c>
      <c r="C494" s="28">
        <v>-7.7000000000000002E-3</v>
      </c>
    </row>
    <row r="495" spans="1:3" x14ac:dyDescent="0.3">
      <c r="A495" s="27">
        <v>45733</v>
      </c>
      <c r="B495" s="7">
        <v>2690.5</v>
      </c>
      <c r="C495" s="28">
        <v>3.2000000000000002E-3</v>
      </c>
    </row>
    <row r="496" spans="1:3" x14ac:dyDescent="0.3">
      <c r="A496" s="27">
        <v>45734</v>
      </c>
      <c r="B496" s="7">
        <v>2655.2</v>
      </c>
      <c r="C496" s="28">
        <v>-1.3100000000000001E-2</v>
      </c>
    </row>
    <row r="497" spans="1:3" x14ac:dyDescent="0.3">
      <c r="A497" s="27">
        <v>45735</v>
      </c>
      <c r="B497" s="7">
        <v>2669.2</v>
      </c>
      <c r="C497" s="28">
        <v>5.3E-3</v>
      </c>
    </row>
    <row r="498" spans="1:3" x14ac:dyDescent="0.3">
      <c r="A498" s="27">
        <v>45736</v>
      </c>
      <c r="B498" s="7">
        <v>2656.55</v>
      </c>
      <c r="C498" s="28">
        <v>-4.7000000000000002E-3</v>
      </c>
    </row>
    <row r="499" spans="1:3" x14ac:dyDescent="0.3">
      <c r="A499" s="27">
        <v>45737</v>
      </c>
      <c r="B499" s="7">
        <v>2626.2</v>
      </c>
      <c r="C499" s="28">
        <v>-1.14E-2</v>
      </c>
    </row>
    <row r="500" spans="1:3" x14ac:dyDescent="0.3">
      <c r="A500" s="27">
        <v>45740</v>
      </c>
      <c r="B500" s="7">
        <v>2614.25</v>
      </c>
      <c r="C500" s="28">
        <v>-4.5999999999999999E-3</v>
      </c>
    </row>
    <row r="501" spans="1:3" x14ac:dyDescent="0.3">
      <c r="A501" s="27">
        <v>45741</v>
      </c>
      <c r="B501" s="7">
        <v>2607.6</v>
      </c>
      <c r="C501" s="28">
        <v>-2.5000000000000001E-3</v>
      </c>
    </row>
    <row r="502" spans="1:3" x14ac:dyDescent="0.3">
      <c r="A502" s="27">
        <v>45742</v>
      </c>
      <c r="B502" s="7">
        <v>2606.5</v>
      </c>
      <c r="C502" s="28">
        <v>-4.0000000000000002E-4</v>
      </c>
    </row>
    <row r="503" spans="1:3" x14ac:dyDescent="0.3">
      <c r="A503" s="27">
        <v>45743</v>
      </c>
      <c r="B503" s="7">
        <v>2561.85</v>
      </c>
      <c r="C503" s="28">
        <v>-1.7100000000000001E-2</v>
      </c>
    </row>
    <row r="504" spans="1:3" x14ac:dyDescent="0.3">
      <c r="A504" s="27">
        <v>45744</v>
      </c>
      <c r="B504" s="7">
        <v>2550.85</v>
      </c>
      <c r="C504" s="28">
        <v>-4.3E-3</v>
      </c>
    </row>
    <row r="505" spans="1:3" x14ac:dyDescent="0.3">
      <c r="A505" s="27">
        <v>45747</v>
      </c>
      <c r="B505" s="7">
        <v>2536.75</v>
      </c>
      <c r="C505" s="28">
        <v>-5.4999999999999997E-3</v>
      </c>
    </row>
    <row r="506" spans="1:3" x14ac:dyDescent="0.3">
      <c r="A506" s="27">
        <v>45748</v>
      </c>
      <c r="B506" s="7">
        <v>2504.4499999999998</v>
      </c>
      <c r="C506" s="28">
        <v>-1.2699999999999999E-2</v>
      </c>
    </row>
    <row r="507" spans="1:3" x14ac:dyDescent="0.3">
      <c r="A507" s="27">
        <v>45749</v>
      </c>
      <c r="B507" s="7">
        <v>2490.35</v>
      </c>
      <c r="C507" s="28">
        <v>-5.5999999999999999E-3</v>
      </c>
    </row>
    <row r="508" spans="1:3" x14ac:dyDescent="0.3">
      <c r="A508" s="27">
        <v>45750</v>
      </c>
      <c r="B508" s="7">
        <v>2456.0500000000002</v>
      </c>
      <c r="C508" s="28">
        <v>-1.38E-2</v>
      </c>
    </row>
    <row r="509" spans="1:3" x14ac:dyDescent="0.3">
      <c r="A509" s="27">
        <v>45751</v>
      </c>
      <c r="B509" s="7">
        <v>2378.0500000000002</v>
      </c>
      <c r="C509" s="28">
        <v>-3.1800000000000002E-2</v>
      </c>
    </row>
    <row r="510" spans="1:3" x14ac:dyDescent="0.3">
      <c r="A510" s="27">
        <v>45754</v>
      </c>
      <c r="B510" s="7">
        <v>2379.5500000000002</v>
      </c>
      <c r="C510" s="28">
        <v>5.9999999999999995E-4</v>
      </c>
    </row>
    <row r="511" spans="1:3" x14ac:dyDescent="0.3">
      <c r="A511" s="27">
        <v>45755</v>
      </c>
      <c r="B511" s="7">
        <v>2339.6</v>
      </c>
      <c r="C511" s="28">
        <v>-1.6799999999999999E-2</v>
      </c>
    </row>
    <row r="512" spans="1:3" x14ac:dyDescent="0.3">
      <c r="A512" s="27">
        <v>45756</v>
      </c>
      <c r="B512" s="7">
        <v>2342.5700000000002</v>
      </c>
      <c r="C512" s="28">
        <v>1.2999999999999999E-3</v>
      </c>
    </row>
    <row r="513" spans="1:3" x14ac:dyDescent="0.3">
      <c r="A513" s="27">
        <v>45757</v>
      </c>
      <c r="B513" s="7">
        <v>2369</v>
      </c>
      <c r="C513" s="28">
        <v>1.1299999999999999E-2</v>
      </c>
    </row>
    <row r="514" spans="1:3" x14ac:dyDescent="0.3">
      <c r="A514" s="27">
        <v>45758</v>
      </c>
      <c r="B514" s="7">
        <v>2401.85</v>
      </c>
      <c r="C514" s="28">
        <v>1.3899999999999999E-2</v>
      </c>
    </row>
    <row r="515" spans="1:3" x14ac:dyDescent="0.3">
      <c r="A515" s="27">
        <v>45761</v>
      </c>
      <c r="B515" s="7">
        <v>2386.0500000000002</v>
      </c>
      <c r="C515" s="28">
        <v>-6.6E-3</v>
      </c>
    </row>
    <row r="516" spans="1:3" x14ac:dyDescent="0.3">
      <c r="A516" s="27">
        <v>45762</v>
      </c>
      <c r="B516" s="7">
        <v>2372.9</v>
      </c>
      <c r="C516" s="28">
        <v>-5.4999999999999997E-3</v>
      </c>
    </row>
    <row r="517" spans="1:3" x14ac:dyDescent="0.3">
      <c r="A517" s="27">
        <v>45763</v>
      </c>
      <c r="B517" s="7">
        <v>2388.6</v>
      </c>
      <c r="C517" s="28">
        <v>6.6E-3</v>
      </c>
    </row>
    <row r="518" spans="1:3" x14ac:dyDescent="0.3">
      <c r="A518" s="27">
        <v>45764</v>
      </c>
      <c r="B518" s="7">
        <v>2383.15</v>
      </c>
      <c r="C518" s="28">
        <v>-2.3E-3</v>
      </c>
    </row>
    <row r="519" spans="1:3" x14ac:dyDescent="0.3">
      <c r="A519" s="27">
        <v>45769</v>
      </c>
      <c r="B519" s="7">
        <v>2394.5500000000002</v>
      </c>
      <c r="C519" s="28">
        <v>4.7999999999999996E-3</v>
      </c>
    </row>
    <row r="520" spans="1:3" x14ac:dyDescent="0.3">
      <c r="A520" s="27">
        <v>45770</v>
      </c>
      <c r="B520" s="7">
        <v>2439.4</v>
      </c>
      <c r="C520" s="28">
        <v>1.8700000000000001E-2</v>
      </c>
    </row>
    <row r="521" spans="1:3" x14ac:dyDescent="0.3">
      <c r="A521" s="27">
        <v>45771</v>
      </c>
      <c r="B521" s="7">
        <v>2459.9</v>
      </c>
      <c r="C521" s="28">
        <v>8.3999999999999995E-3</v>
      </c>
    </row>
    <row r="522" spans="1:3" x14ac:dyDescent="0.3">
      <c r="A522" s="27">
        <v>45772</v>
      </c>
      <c r="B522" s="7">
        <v>2437.4</v>
      </c>
      <c r="C522" s="28">
        <v>-9.1000000000000004E-3</v>
      </c>
    </row>
    <row r="523" spans="1:3" x14ac:dyDescent="0.3">
      <c r="A523" s="27">
        <v>45775</v>
      </c>
      <c r="B523" s="7">
        <v>2435.3000000000002</v>
      </c>
      <c r="C523" s="28">
        <v>-8.9999999999999998E-4</v>
      </c>
    </row>
    <row r="524" spans="1:3" x14ac:dyDescent="0.3">
      <c r="A524" s="27">
        <v>45776</v>
      </c>
      <c r="B524" s="7">
        <v>2467.85</v>
      </c>
      <c r="C524" s="28">
        <v>1.34E-2</v>
      </c>
    </row>
    <row r="525" spans="1:3" x14ac:dyDescent="0.3">
      <c r="A525" s="27">
        <v>45777</v>
      </c>
      <c r="B525" s="7">
        <v>2397.5</v>
      </c>
      <c r="C525" s="28">
        <v>-2.8500000000000001E-2</v>
      </c>
    </row>
    <row r="526" spans="1:3" x14ac:dyDescent="0.3">
      <c r="A526" s="27">
        <v>45778</v>
      </c>
      <c r="B526" s="7">
        <v>2412.1</v>
      </c>
      <c r="C526" s="28">
        <v>6.1000000000000004E-3</v>
      </c>
    </row>
    <row r="527" spans="1:3" x14ac:dyDescent="0.3">
      <c r="A527" s="27">
        <v>45779</v>
      </c>
      <c r="B527" s="7">
        <v>2440.4</v>
      </c>
      <c r="C527" s="28">
        <v>1.17E-2</v>
      </c>
    </row>
    <row r="528" spans="1:3" x14ac:dyDescent="0.3">
      <c r="A528" s="27">
        <v>45783</v>
      </c>
      <c r="B528" s="7">
        <v>2424.4499999999998</v>
      </c>
      <c r="C528" s="28">
        <v>-6.4999999999999997E-3</v>
      </c>
    </row>
    <row r="529" spans="1:3" x14ac:dyDescent="0.3">
      <c r="A529" s="27">
        <v>45784</v>
      </c>
      <c r="B529" s="7">
        <v>2380.0500000000002</v>
      </c>
      <c r="C529" s="28">
        <v>-1.83E-2</v>
      </c>
    </row>
    <row r="530" spans="1:3" x14ac:dyDescent="0.3">
      <c r="A530" s="27">
        <v>45785</v>
      </c>
      <c r="B530" s="7">
        <v>2408.75</v>
      </c>
      <c r="C530" s="28">
        <v>1.21E-2</v>
      </c>
    </row>
    <row r="531" spans="1:3" x14ac:dyDescent="0.3">
      <c r="A531" s="27">
        <v>45786</v>
      </c>
      <c r="B531" s="7">
        <v>2421.1</v>
      </c>
      <c r="C531" s="28">
        <v>5.1000000000000004E-3</v>
      </c>
    </row>
    <row r="532" spans="1:3" x14ac:dyDescent="0.3">
      <c r="A532" s="27">
        <v>45789</v>
      </c>
      <c r="B532" s="7">
        <v>2470.9</v>
      </c>
      <c r="C532" s="28">
        <v>2.06E-2</v>
      </c>
    </row>
    <row r="533" spans="1:3" x14ac:dyDescent="0.3">
      <c r="A533" s="27">
        <v>45790</v>
      </c>
      <c r="B533" s="7">
        <v>2490.9499999999998</v>
      </c>
      <c r="C533" s="28">
        <v>8.0999999999999996E-3</v>
      </c>
    </row>
    <row r="534" spans="1:3" x14ac:dyDescent="0.3">
      <c r="A534" s="27">
        <v>45791</v>
      </c>
      <c r="B534" s="7">
        <v>2523.1999999999998</v>
      </c>
      <c r="C534" s="28">
        <v>1.29E-2</v>
      </c>
    </row>
    <row r="535" spans="1:3" x14ac:dyDescent="0.3">
      <c r="A535" s="27">
        <v>45792</v>
      </c>
      <c r="B535" s="7">
        <v>2500.6</v>
      </c>
      <c r="C535" s="28">
        <v>-8.9999999999999993E-3</v>
      </c>
    </row>
    <row r="536" spans="1:3" x14ac:dyDescent="0.3">
      <c r="A536" s="27">
        <v>45793</v>
      </c>
      <c r="B536" s="7">
        <v>2479.9</v>
      </c>
      <c r="C536" s="28">
        <v>-8.3000000000000001E-3</v>
      </c>
    </row>
    <row r="537" spans="1:3" x14ac:dyDescent="0.3">
      <c r="A537" s="27">
        <v>45796</v>
      </c>
      <c r="B537" s="7">
        <v>2439.15</v>
      </c>
      <c r="C537" s="28">
        <v>-1.6400000000000001E-2</v>
      </c>
    </row>
    <row r="538" spans="1:3" x14ac:dyDescent="0.3">
      <c r="A538" s="27">
        <v>45797</v>
      </c>
      <c r="B538" s="7">
        <v>2482.9499999999998</v>
      </c>
      <c r="C538" s="28">
        <v>1.7999999999999999E-2</v>
      </c>
    </row>
    <row r="539" spans="1:3" x14ac:dyDescent="0.3">
      <c r="A539" s="27">
        <v>45798</v>
      </c>
      <c r="B539" s="7">
        <v>2477.25</v>
      </c>
      <c r="C539" s="28">
        <v>-2.3E-3</v>
      </c>
    </row>
    <row r="540" spans="1:3" x14ac:dyDescent="0.3">
      <c r="A540" s="27">
        <v>45799</v>
      </c>
      <c r="B540" s="7">
        <v>2460.1999999999998</v>
      </c>
      <c r="C540" s="28">
        <v>-6.8999999999999999E-3</v>
      </c>
    </row>
    <row r="541" spans="1:3" x14ac:dyDescent="0.3">
      <c r="A541" s="27">
        <v>45800</v>
      </c>
      <c r="B541" s="7">
        <v>2472.4</v>
      </c>
      <c r="C541" s="28">
        <v>5.0000000000000001E-3</v>
      </c>
    </row>
    <row r="542" spans="1:3" x14ac:dyDescent="0.3">
      <c r="A542" s="27">
        <v>45804</v>
      </c>
      <c r="B542" s="7">
        <v>2483.4499999999998</v>
      </c>
      <c r="C542" s="28">
        <v>4.4999999999999997E-3</v>
      </c>
    </row>
    <row r="543" spans="1:3" x14ac:dyDescent="0.3">
      <c r="A543" s="27">
        <v>45805</v>
      </c>
      <c r="B543" s="7">
        <v>2470.5500000000002</v>
      </c>
      <c r="C543" s="28">
        <v>-5.1999999999999998E-3</v>
      </c>
    </row>
    <row r="544" spans="1:3" x14ac:dyDescent="0.3">
      <c r="A544" s="27">
        <v>45806</v>
      </c>
      <c r="B544" s="7">
        <v>2450.35</v>
      </c>
      <c r="C544" s="28">
        <v>-8.2000000000000007E-3</v>
      </c>
    </row>
    <row r="545" spans="1:3" x14ac:dyDescent="0.3">
      <c r="A545" s="27">
        <v>45807</v>
      </c>
      <c r="B545" s="7">
        <v>2446.4</v>
      </c>
      <c r="C545" s="28">
        <v>-1.6000000000000001E-3</v>
      </c>
    </row>
    <row r="546" spans="1:3" x14ac:dyDescent="0.3">
      <c r="A546" s="27">
        <v>45810</v>
      </c>
      <c r="B546" s="7">
        <v>2474.5500000000002</v>
      </c>
      <c r="C546" s="28">
        <v>1.15E-2</v>
      </c>
    </row>
    <row r="547" spans="1:3" x14ac:dyDescent="0.3">
      <c r="A547" s="27">
        <v>45811</v>
      </c>
      <c r="B547" s="7">
        <v>2472.6</v>
      </c>
      <c r="C547" s="28">
        <v>-8.0000000000000004E-4</v>
      </c>
    </row>
    <row r="548" spans="1:3" x14ac:dyDescent="0.3">
      <c r="A548" s="27">
        <v>45812</v>
      </c>
      <c r="B548" s="7">
        <v>2489.6</v>
      </c>
      <c r="C548" s="28">
        <v>6.8999999999999999E-3</v>
      </c>
    </row>
    <row r="549" spans="1:3" x14ac:dyDescent="0.3">
      <c r="A549" s="27">
        <v>45813</v>
      </c>
      <c r="B549" s="7">
        <v>2479.1999999999998</v>
      </c>
      <c r="C549" s="28">
        <v>-4.1999999999999997E-3</v>
      </c>
    </row>
    <row r="550" spans="1:3" x14ac:dyDescent="0.3">
      <c r="A550" s="27">
        <v>45814</v>
      </c>
      <c r="B550" s="7">
        <v>2453.4</v>
      </c>
      <c r="C550" s="28">
        <v>-1.04E-2</v>
      </c>
    </row>
    <row r="551" spans="1:3" x14ac:dyDescent="0.3">
      <c r="A551" s="27">
        <v>45817</v>
      </c>
      <c r="B551" s="7">
        <v>2480.65</v>
      </c>
      <c r="C551" s="28">
        <v>1.11E-2</v>
      </c>
    </row>
    <row r="552" spans="1:3" x14ac:dyDescent="0.3">
      <c r="A552" s="27">
        <v>45818</v>
      </c>
      <c r="B552" s="7">
        <v>2492.35</v>
      </c>
      <c r="C552" s="28">
        <v>4.7000000000000002E-3</v>
      </c>
    </row>
    <row r="553" spans="1:3" x14ac:dyDescent="0.3">
      <c r="A553" s="27">
        <v>45819</v>
      </c>
      <c r="B553" s="7">
        <v>2517.9499999999998</v>
      </c>
      <c r="C553" s="28">
        <v>1.03E-2</v>
      </c>
    </row>
    <row r="554" spans="1:3" x14ac:dyDescent="0.3">
      <c r="A554" s="27">
        <v>45820</v>
      </c>
      <c r="B554" s="7">
        <v>2521.6999999999998</v>
      </c>
      <c r="C554" s="28">
        <v>1.5E-3</v>
      </c>
    </row>
    <row r="555" spans="1:3" x14ac:dyDescent="0.3">
      <c r="A555" s="27">
        <v>45821</v>
      </c>
      <c r="B555" s="7">
        <v>2506.0500000000002</v>
      </c>
      <c r="C555" s="28">
        <v>-6.1999999999999998E-3</v>
      </c>
    </row>
    <row r="556" spans="1:3" x14ac:dyDescent="0.3">
      <c r="A556" s="27">
        <v>45824</v>
      </c>
      <c r="B556" s="7">
        <v>2518.4</v>
      </c>
      <c r="C556" s="28">
        <v>4.8999999999999998E-3</v>
      </c>
    </row>
    <row r="557" spans="1:3" x14ac:dyDescent="0.3">
      <c r="A557" s="27">
        <v>45825</v>
      </c>
      <c r="B557" s="7">
        <v>2547.6999999999998</v>
      </c>
      <c r="C557" s="28">
        <v>1.1599999999999999E-2</v>
      </c>
    </row>
    <row r="558" spans="1:3" x14ac:dyDescent="0.3">
      <c r="A558" s="27">
        <v>45826</v>
      </c>
      <c r="B558" s="7">
        <v>2545</v>
      </c>
      <c r="C558" s="28">
        <v>-1.1000000000000001E-3</v>
      </c>
    </row>
    <row r="559" spans="1:3" x14ac:dyDescent="0.3">
      <c r="A559" s="27">
        <v>45827</v>
      </c>
      <c r="B559" s="7">
        <v>2527.25</v>
      </c>
      <c r="C559" s="28">
        <v>-7.0000000000000001E-3</v>
      </c>
    </row>
    <row r="560" spans="1:3" x14ac:dyDescent="0.3">
      <c r="A560" s="27">
        <v>45828</v>
      </c>
      <c r="B560" s="7">
        <v>2556.5</v>
      </c>
      <c r="C560" s="28">
        <v>1.1599999999999999E-2</v>
      </c>
    </row>
    <row r="561" spans="1:3" x14ac:dyDescent="0.3">
      <c r="A561" s="27">
        <v>45831</v>
      </c>
      <c r="B561" s="7">
        <v>2589.9499999999998</v>
      </c>
      <c r="C561" s="28">
        <v>1.3100000000000001E-2</v>
      </c>
    </row>
    <row r="562" spans="1:3" x14ac:dyDescent="0.3">
      <c r="A562" s="27">
        <v>45832</v>
      </c>
      <c r="B562" s="7">
        <v>2575.85</v>
      </c>
      <c r="C562" s="28">
        <v>-5.4000000000000003E-3</v>
      </c>
    </row>
    <row r="563" spans="1:3" x14ac:dyDescent="0.3">
      <c r="A563" s="27">
        <v>45833</v>
      </c>
      <c r="B563" s="7">
        <v>2571.1</v>
      </c>
      <c r="C563" s="28">
        <v>-1.8E-3</v>
      </c>
    </row>
    <row r="564" spans="1:3" x14ac:dyDescent="0.3">
      <c r="A564" s="27">
        <v>45834</v>
      </c>
      <c r="B564" s="7">
        <v>2592.35</v>
      </c>
      <c r="C564" s="28">
        <v>8.3000000000000001E-3</v>
      </c>
    </row>
    <row r="565" spans="1:3" x14ac:dyDescent="0.3">
      <c r="A565" s="27">
        <v>45835</v>
      </c>
      <c r="B565" s="7">
        <v>2598.85</v>
      </c>
      <c r="C565" s="28">
        <v>2.5000000000000001E-3</v>
      </c>
    </row>
    <row r="566" spans="1:3" x14ac:dyDescent="0.3">
      <c r="A566" s="27">
        <v>45838</v>
      </c>
      <c r="B566" s="7">
        <v>2601.65</v>
      </c>
      <c r="C566" s="28">
        <v>1.1000000000000001E-3</v>
      </c>
    </row>
    <row r="567" spans="1:3" x14ac:dyDescent="0.3">
      <c r="A567" s="27">
        <v>45839</v>
      </c>
      <c r="B567" s="7">
        <v>2602.1</v>
      </c>
      <c r="C567" s="28">
        <v>2.0000000000000001E-4</v>
      </c>
    </row>
    <row r="568" spans="1:3" x14ac:dyDescent="0.3">
      <c r="A568" s="27">
        <v>45840</v>
      </c>
      <c r="B568" s="7">
        <v>2623.2</v>
      </c>
      <c r="C568" s="28">
        <v>8.0999999999999996E-3</v>
      </c>
    </row>
    <row r="569" spans="1:3" x14ac:dyDescent="0.3">
      <c r="A569" s="27">
        <v>45841</v>
      </c>
      <c r="B569" s="7">
        <v>2608.15</v>
      </c>
      <c r="C569" s="28">
        <v>-5.7000000000000002E-3</v>
      </c>
    </row>
    <row r="570" spans="1:3" x14ac:dyDescent="0.3">
      <c r="A570" s="27">
        <v>45842</v>
      </c>
      <c r="B570" s="7">
        <v>2595.65</v>
      </c>
      <c r="C570" s="28">
        <v>-4.7999999999999996E-3</v>
      </c>
    </row>
    <row r="571" spans="1:3" x14ac:dyDescent="0.3">
      <c r="A571" s="27">
        <v>45845</v>
      </c>
      <c r="B571" s="7">
        <v>2569.65</v>
      </c>
      <c r="C571" s="28">
        <v>-0.01</v>
      </c>
    </row>
    <row r="572" spans="1:3" x14ac:dyDescent="0.3">
      <c r="A572" s="27">
        <v>45846</v>
      </c>
      <c r="B572" s="7">
        <v>2594.5500000000002</v>
      </c>
      <c r="C572" s="28">
        <v>9.7000000000000003E-3</v>
      </c>
    </row>
    <row r="573" spans="1:3" x14ac:dyDescent="0.3">
      <c r="A573" s="27">
        <v>45847</v>
      </c>
      <c r="B573" s="7">
        <v>2605.1999999999998</v>
      </c>
      <c r="C573" s="28">
        <v>4.1000000000000003E-3</v>
      </c>
    </row>
    <row r="574" spans="1:3" x14ac:dyDescent="0.3">
      <c r="A574" s="27">
        <v>45848</v>
      </c>
      <c r="B574" s="7">
        <v>2609.25</v>
      </c>
      <c r="C574" s="28">
        <v>1.6000000000000001E-3</v>
      </c>
    </row>
    <row r="575" spans="1:3" x14ac:dyDescent="0.3">
      <c r="A575" s="27">
        <v>45849</v>
      </c>
      <c r="B575" s="7">
        <v>2603.6999999999998</v>
      </c>
      <c r="C575" s="28">
        <v>-2.0999999999999999E-3</v>
      </c>
    </row>
    <row r="576" spans="1:3" x14ac:dyDescent="0.3">
      <c r="A576" s="27">
        <v>45852</v>
      </c>
      <c r="B576" s="7">
        <v>2596.15</v>
      </c>
      <c r="C576" s="28">
        <v>-2.8999999999999998E-3</v>
      </c>
    </row>
    <row r="577" spans="1:3" x14ac:dyDescent="0.3">
      <c r="A577" s="27">
        <v>45853</v>
      </c>
      <c r="B577" s="7">
        <v>2582.4499999999998</v>
      </c>
      <c r="C577" s="28">
        <v>-5.3E-3</v>
      </c>
    </row>
    <row r="578" spans="1:3" x14ac:dyDescent="0.3">
      <c r="A578" s="27">
        <v>45854</v>
      </c>
      <c r="B578" s="7">
        <v>2577.9</v>
      </c>
      <c r="C578" s="28">
        <v>-1.8E-3</v>
      </c>
    </row>
    <row r="579" spans="1:3" x14ac:dyDescent="0.3">
      <c r="A579" s="27">
        <v>45855</v>
      </c>
      <c r="B579" s="7">
        <v>2588.25</v>
      </c>
      <c r="C579" s="28">
        <v>4.0000000000000001E-3</v>
      </c>
    </row>
    <row r="580" spans="1:3" x14ac:dyDescent="0.3">
      <c r="A580" s="27">
        <v>45856</v>
      </c>
      <c r="B580" s="7">
        <v>2635.9</v>
      </c>
      <c r="C580" s="28">
        <v>1.84E-2</v>
      </c>
    </row>
    <row r="581" spans="1:3" x14ac:dyDescent="0.3">
      <c r="A581" s="27">
        <v>45859</v>
      </c>
      <c r="B581" s="7">
        <v>2644.95</v>
      </c>
      <c r="C581" s="28">
        <v>3.3999999999999998E-3</v>
      </c>
    </row>
    <row r="582" spans="1:3" x14ac:dyDescent="0.3">
      <c r="A582" s="27">
        <v>45860</v>
      </c>
      <c r="B582" s="7">
        <v>2657.25</v>
      </c>
      <c r="C582" s="28">
        <v>4.7000000000000002E-3</v>
      </c>
    </row>
    <row r="583" spans="1:3" x14ac:dyDescent="0.3">
      <c r="A583" s="27">
        <v>45861</v>
      </c>
      <c r="B583" s="7">
        <v>2645.65</v>
      </c>
      <c r="C583" s="28">
        <v>-4.4000000000000003E-3</v>
      </c>
    </row>
    <row r="584" spans="1:3" x14ac:dyDescent="0.3">
      <c r="A584" s="27">
        <v>45862</v>
      </c>
      <c r="B584" s="7">
        <v>2652.05</v>
      </c>
      <c r="C584" s="28">
        <v>2.3999999999999998E-3</v>
      </c>
    </row>
    <row r="585" spans="1:3" x14ac:dyDescent="0.3">
      <c r="A585" s="27">
        <v>45863</v>
      </c>
      <c r="B585" s="7">
        <v>2635.85</v>
      </c>
      <c r="C585" s="28">
        <v>-6.1000000000000004E-3</v>
      </c>
    </row>
    <row r="586" spans="1:3" x14ac:dyDescent="0.3">
      <c r="A586" s="27">
        <v>45866</v>
      </c>
      <c r="B586" s="7">
        <v>2634.35</v>
      </c>
      <c r="C586" s="28">
        <v>-5.9999999999999995E-4</v>
      </c>
    </row>
    <row r="587" spans="1:3" x14ac:dyDescent="0.3">
      <c r="A587" s="27">
        <v>45867</v>
      </c>
      <c r="B587" s="7">
        <v>2608</v>
      </c>
      <c r="C587" s="28">
        <v>-0.01</v>
      </c>
    </row>
    <row r="588" spans="1:3" x14ac:dyDescent="0.3">
      <c r="A588" s="27">
        <v>45868</v>
      </c>
      <c r="B588" s="7">
        <v>2607.1999999999998</v>
      </c>
      <c r="C588" s="28">
        <v>-2.9999999999999997E-4</v>
      </c>
    </row>
    <row r="589" spans="1:3" x14ac:dyDescent="0.3">
      <c r="A589" s="27">
        <v>45869</v>
      </c>
      <c r="B589" s="7">
        <v>2565.5500000000002</v>
      </c>
      <c r="C589" s="28">
        <v>-1.6E-2</v>
      </c>
    </row>
    <row r="590" spans="1:3" x14ac:dyDescent="0.3">
      <c r="A590" s="27">
        <v>45870</v>
      </c>
      <c r="B590" s="7">
        <v>2573.35</v>
      </c>
      <c r="C590" s="28">
        <v>3.0000000000000001E-3</v>
      </c>
    </row>
    <row r="591" spans="1:3" x14ac:dyDescent="0.3">
      <c r="A591" s="27">
        <v>45873</v>
      </c>
      <c r="B591" s="7">
        <v>2564.6</v>
      </c>
      <c r="C591" s="28">
        <v>-3.3999999999999998E-3</v>
      </c>
    </row>
    <row r="592" spans="1:3" x14ac:dyDescent="0.3">
      <c r="A592" s="27">
        <v>45874</v>
      </c>
      <c r="B592" s="7">
        <v>2567.75</v>
      </c>
      <c r="C592" s="28">
        <v>1.1999999999999999E-3</v>
      </c>
    </row>
    <row r="593" spans="1:3" x14ac:dyDescent="0.3">
      <c r="A593" s="27">
        <v>45875</v>
      </c>
      <c r="B593" s="7">
        <v>2624.35</v>
      </c>
      <c r="C593" s="28">
        <v>2.1999999999999999E-2</v>
      </c>
    </row>
    <row r="594" spans="1:3" x14ac:dyDescent="0.3">
      <c r="A594" s="27">
        <v>45876</v>
      </c>
      <c r="B594" s="7">
        <v>2608.85</v>
      </c>
      <c r="C594" s="28">
        <v>-5.8999999999999999E-3</v>
      </c>
    </row>
    <row r="595" spans="1:3" x14ac:dyDescent="0.3">
      <c r="A595" s="27">
        <v>45877</v>
      </c>
      <c r="B595" s="7">
        <v>2615.75</v>
      </c>
      <c r="C595" s="28">
        <v>2.5999999999999999E-3</v>
      </c>
    </row>
    <row r="596" spans="1:3" x14ac:dyDescent="0.3">
      <c r="A596" s="27">
        <v>45880</v>
      </c>
      <c r="B596" s="7">
        <v>2584.5</v>
      </c>
      <c r="C596" s="28">
        <v>-1.1900000000000001E-2</v>
      </c>
    </row>
    <row r="597" spans="1:3" x14ac:dyDescent="0.3">
      <c r="A597" s="27">
        <v>45881</v>
      </c>
      <c r="B597" s="7">
        <v>2628.3</v>
      </c>
      <c r="C597" s="28">
        <v>1.6899999999999998E-2</v>
      </c>
    </row>
    <row r="598" spans="1:3" x14ac:dyDescent="0.3">
      <c r="A598" s="27">
        <v>45882</v>
      </c>
      <c r="B598" s="7">
        <v>2610.6999999999998</v>
      </c>
      <c r="C598" s="28">
        <v>-6.7000000000000002E-3</v>
      </c>
    </row>
    <row r="599" spans="1:3" x14ac:dyDescent="0.3">
      <c r="A599" s="27">
        <v>45883</v>
      </c>
      <c r="B599" s="7">
        <v>2624.25</v>
      </c>
      <c r="C599" s="28">
        <v>5.1999999999999998E-3</v>
      </c>
    </row>
    <row r="600" spans="1:3" x14ac:dyDescent="0.3">
      <c r="A600" s="27">
        <v>45884</v>
      </c>
      <c r="B600" s="7">
        <v>2603.6</v>
      </c>
      <c r="C600" s="28">
        <v>-7.9000000000000008E-3</v>
      </c>
    </row>
    <row r="601" spans="1:3" x14ac:dyDescent="0.3">
      <c r="A601" s="27">
        <v>45887</v>
      </c>
      <c r="B601" s="7">
        <v>2585.75</v>
      </c>
      <c r="C601" s="28">
        <v>-6.8999999999999999E-3</v>
      </c>
    </row>
    <row r="602" spans="1:3" x14ac:dyDescent="0.3">
      <c r="A602" s="27">
        <v>45888</v>
      </c>
      <c r="B602" s="7">
        <v>2565.1</v>
      </c>
      <c r="C602" s="28">
        <v>-8.0000000000000002E-3</v>
      </c>
    </row>
    <row r="603" spans="1:3" x14ac:dyDescent="0.3">
      <c r="A603" s="27">
        <v>45889</v>
      </c>
      <c r="B603" s="7">
        <v>2582.6</v>
      </c>
      <c r="C603" s="28">
        <v>6.7999999999999996E-3</v>
      </c>
    </row>
    <row r="604" spans="1:3" x14ac:dyDescent="0.3">
      <c r="A604" s="27">
        <v>45890</v>
      </c>
      <c r="B604" s="7">
        <v>2592.85</v>
      </c>
      <c r="C604" s="28">
        <v>4.0000000000000001E-3</v>
      </c>
    </row>
    <row r="605" spans="1:3" x14ac:dyDescent="0.3">
      <c r="A605" s="27">
        <v>45891</v>
      </c>
      <c r="B605" s="7">
        <v>2622.55</v>
      </c>
      <c r="C605" s="28">
        <v>1.15E-2</v>
      </c>
    </row>
    <row r="606" spans="1:3" x14ac:dyDescent="0.3">
      <c r="A606" s="27">
        <v>45895</v>
      </c>
      <c r="B606" s="7">
        <v>2638.2</v>
      </c>
      <c r="C606" s="28">
        <v>6.0000000000000001E-3</v>
      </c>
    </row>
    <row r="607" spans="1:3" x14ac:dyDescent="0.3">
      <c r="A607" s="27">
        <v>45896</v>
      </c>
      <c r="B607" s="7">
        <v>2605.4</v>
      </c>
      <c r="C607" s="28">
        <v>-1.24E-2</v>
      </c>
    </row>
    <row r="608" spans="1:3" x14ac:dyDescent="0.3">
      <c r="A608" s="27">
        <v>45897</v>
      </c>
      <c r="B608" s="7">
        <v>2609.5500000000002</v>
      </c>
      <c r="C608" s="28">
        <v>1.6000000000000001E-3</v>
      </c>
    </row>
    <row r="609" spans="1:3" x14ac:dyDescent="0.3">
      <c r="A609" s="27">
        <v>45898</v>
      </c>
      <c r="B609" s="7">
        <v>2620.15</v>
      </c>
      <c r="C609" s="28">
        <v>4.1000000000000003E-3</v>
      </c>
    </row>
    <row r="610" spans="1:3" x14ac:dyDescent="0.3">
      <c r="A610" s="27">
        <v>45901</v>
      </c>
      <c r="B610" s="7">
        <v>2617.4</v>
      </c>
      <c r="C610" s="28">
        <v>-1E-3</v>
      </c>
    </row>
    <row r="611" spans="1:3" x14ac:dyDescent="0.3">
      <c r="A611" s="27">
        <v>45902</v>
      </c>
      <c r="B611" s="7">
        <v>2621.25</v>
      </c>
      <c r="C611" s="28">
        <v>1.5E-3</v>
      </c>
    </row>
    <row r="612" spans="1:3" x14ac:dyDescent="0.3">
      <c r="A612" s="27">
        <v>45903</v>
      </c>
      <c r="B612" s="7">
        <v>2617.3000000000002</v>
      </c>
      <c r="C612" s="28">
        <v>-1.5E-3</v>
      </c>
    </row>
    <row r="613" spans="1:3" x14ac:dyDescent="0.3">
      <c r="A613" s="27">
        <v>45904</v>
      </c>
      <c r="B613" s="7">
        <v>2591.75</v>
      </c>
      <c r="C613" s="28">
        <v>-9.7999999999999997E-3</v>
      </c>
    </row>
    <row r="614" spans="1:3" x14ac:dyDescent="0.3">
      <c r="A614" s="27">
        <v>45905</v>
      </c>
      <c r="B614" s="7">
        <v>2606.15</v>
      </c>
      <c r="C614" s="28">
        <v>5.5999999999999999E-3</v>
      </c>
    </row>
    <row r="615" spans="1:3" x14ac:dyDescent="0.3">
      <c r="A615" s="27">
        <v>45908</v>
      </c>
      <c r="B615" s="7">
        <v>2614.4</v>
      </c>
      <c r="C615" s="28">
        <v>3.2000000000000002E-3</v>
      </c>
    </row>
    <row r="616" spans="1:3" x14ac:dyDescent="0.3">
      <c r="A616" s="27">
        <v>45909</v>
      </c>
      <c r="B616" s="7">
        <v>2629.45</v>
      </c>
      <c r="C616" s="28">
        <v>5.7999999999999996E-3</v>
      </c>
    </row>
    <row r="617" spans="1:3" x14ac:dyDescent="0.3">
      <c r="A617" s="27">
        <v>45910</v>
      </c>
      <c r="B617" s="7">
        <v>2628.2</v>
      </c>
      <c r="C617" s="28">
        <v>-5.0000000000000001E-4</v>
      </c>
    </row>
    <row r="618" spans="1:3" x14ac:dyDescent="0.3">
      <c r="A618" s="27">
        <v>45911</v>
      </c>
      <c r="B618" s="7">
        <v>2678.85</v>
      </c>
      <c r="C618" s="28">
        <v>1.9300000000000001E-2</v>
      </c>
    </row>
    <row r="619" spans="1:3" x14ac:dyDescent="0.3">
      <c r="A619" s="27">
        <v>45912</v>
      </c>
      <c r="B619" s="7">
        <v>2699.9</v>
      </c>
      <c r="C619" s="28">
        <v>7.9000000000000008E-3</v>
      </c>
    </row>
    <row r="620" spans="1:3" x14ac:dyDescent="0.3">
      <c r="A620" s="27">
        <v>45915</v>
      </c>
      <c r="B620" s="7">
        <v>2703.7</v>
      </c>
      <c r="C620" s="28">
        <v>1.4E-3</v>
      </c>
    </row>
    <row r="621" spans="1:3" x14ac:dyDescent="0.3">
      <c r="A621" s="27">
        <v>45916</v>
      </c>
      <c r="B621" s="7">
        <v>2714.55</v>
      </c>
      <c r="C621" s="28">
        <v>4.0000000000000001E-3</v>
      </c>
    </row>
    <row r="622" spans="1:3" x14ac:dyDescent="0.3">
      <c r="A622" s="27">
        <v>45917</v>
      </c>
      <c r="B622" s="7">
        <v>2684.05</v>
      </c>
      <c r="C622" s="28">
        <v>-1.12E-2</v>
      </c>
    </row>
    <row r="623" spans="1:3" x14ac:dyDescent="0.3">
      <c r="A623" s="27">
        <v>45918</v>
      </c>
      <c r="B623" s="7">
        <v>2696.5</v>
      </c>
      <c r="C623" s="28">
        <v>4.5999999999999999E-3</v>
      </c>
    </row>
    <row r="624" spans="1:3" x14ac:dyDescent="0.3">
      <c r="A624" s="27">
        <v>45919</v>
      </c>
      <c r="B624" s="7">
        <v>2672.7</v>
      </c>
      <c r="C624" s="28">
        <v>-8.8000000000000005E-3</v>
      </c>
    </row>
    <row r="625" spans="1:3" x14ac:dyDescent="0.3">
      <c r="A625" s="27">
        <v>45922</v>
      </c>
      <c r="B625" s="7">
        <v>2650.35</v>
      </c>
      <c r="C625" s="28">
        <v>-8.3999999999999995E-3</v>
      </c>
    </row>
    <row r="626" spans="1:3" x14ac:dyDescent="0.3">
      <c r="A626" s="27">
        <v>45923</v>
      </c>
      <c r="B626" s="7">
        <v>2642.15</v>
      </c>
      <c r="C626" s="28">
        <v>-3.0999999999999999E-3</v>
      </c>
    </row>
    <row r="627" spans="1:3" x14ac:dyDescent="0.3">
      <c r="A627" s="27">
        <v>45924</v>
      </c>
      <c r="B627" s="7">
        <v>2656</v>
      </c>
      <c r="C627" s="28">
        <v>5.1999999999999998E-3</v>
      </c>
    </row>
    <row r="628" spans="1:3" x14ac:dyDescent="0.3">
      <c r="A628" s="27">
        <v>45925</v>
      </c>
      <c r="B628" s="7">
        <v>2661.15</v>
      </c>
      <c r="C628" s="28">
        <v>1.9E-3</v>
      </c>
    </row>
    <row r="629" spans="1:3" x14ac:dyDescent="0.3">
      <c r="A629" s="27">
        <v>45926</v>
      </c>
      <c r="B629" s="7">
        <v>2652.6</v>
      </c>
      <c r="C629" s="28">
        <v>-3.2000000000000002E-3</v>
      </c>
    </row>
    <row r="630" spans="1:3" x14ac:dyDescent="0.3">
      <c r="A630" s="27">
        <v>45929</v>
      </c>
      <c r="B630" s="7">
        <v>2679.15</v>
      </c>
      <c r="C630" s="28">
        <v>0.01</v>
      </c>
    </row>
    <row r="631" spans="1:3" x14ac:dyDescent="0.3">
      <c r="A631" s="27">
        <v>45930</v>
      </c>
      <c r="B631" s="7">
        <v>2681.95</v>
      </c>
      <c r="C631" s="28">
        <v>1E-3</v>
      </c>
    </row>
    <row r="632" spans="1:3" x14ac:dyDescent="0.3">
      <c r="A632" s="27">
        <v>45931</v>
      </c>
      <c r="B632" s="7">
        <v>2697.25</v>
      </c>
      <c r="C632" s="28">
        <v>5.7000000000000002E-3</v>
      </c>
    </row>
    <row r="633" spans="1:3" x14ac:dyDescent="0.3">
      <c r="A633" s="27">
        <v>45932</v>
      </c>
      <c r="B633" s="7">
        <v>2689.35</v>
      </c>
      <c r="C633" s="28">
        <v>-2.8999999999999998E-3</v>
      </c>
    </row>
    <row r="634" spans="1:3" x14ac:dyDescent="0.3">
      <c r="A634" s="27">
        <v>45933</v>
      </c>
      <c r="B634" s="7">
        <v>2711.25</v>
      </c>
      <c r="C634" s="28">
        <v>8.0999999999999996E-3</v>
      </c>
    </row>
    <row r="635" spans="1:3" x14ac:dyDescent="0.3">
      <c r="A635" s="27">
        <v>45936</v>
      </c>
      <c r="B635" s="7">
        <v>2720.25</v>
      </c>
      <c r="C635" s="28">
        <v>3.3E-3</v>
      </c>
    </row>
    <row r="636" spans="1:3" x14ac:dyDescent="0.3">
      <c r="A636" s="27">
        <v>45937</v>
      </c>
      <c r="B636" s="7">
        <v>2743.9</v>
      </c>
      <c r="C636" s="28">
        <v>8.6999999999999994E-3</v>
      </c>
    </row>
    <row r="637" spans="1:3" x14ac:dyDescent="0.3">
      <c r="A637" s="27">
        <v>45938</v>
      </c>
      <c r="B637" s="7">
        <v>2759.05</v>
      </c>
      <c r="C637" s="28">
        <v>5.4999999999999997E-3</v>
      </c>
    </row>
    <row r="638" spans="1:3" x14ac:dyDescent="0.3">
      <c r="A638" s="27">
        <v>45939</v>
      </c>
      <c r="B638" s="7">
        <v>2785.95</v>
      </c>
      <c r="C638" s="28">
        <v>9.7000000000000003E-3</v>
      </c>
    </row>
    <row r="639" spans="1:3" x14ac:dyDescent="0.3">
      <c r="A639" s="27">
        <v>45940</v>
      </c>
      <c r="B639" s="7">
        <v>2749.55</v>
      </c>
      <c r="C639" s="28">
        <v>-1.3100000000000001E-2</v>
      </c>
    </row>
    <row r="640" spans="1:3" x14ac:dyDescent="0.3">
      <c r="A640" s="27">
        <v>45943</v>
      </c>
      <c r="B640" s="7">
        <v>2769.8</v>
      </c>
      <c r="C640" s="28">
        <v>7.4000000000000003E-3</v>
      </c>
    </row>
    <row r="641" spans="1:3" x14ac:dyDescent="0.3">
      <c r="A641" s="27">
        <v>45944</v>
      </c>
      <c r="B641" s="7">
        <v>2746.1</v>
      </c>
      <c r="C641" s="28">
        <v>-8.6E-3</v>
      </c>
    </row>
    <row r="642" spans="1:3" x14ac:dyDescent="0.3">
      <c r="A642" s="27">
        <v>45945</v>
      </c>
      <c r="B642" s="7">
        <v>2747.05</v>
      </c>
      <c r="C642" s="28">
        <v>2.9999999999999997E-4</v>
      </c>
    </row>
    <row r="643" spans="1:3" x14ac:dyDescent="0.3">
      <c r="A643" s="27">
        <v>45946</v>
      </c>
      <c r="B643" s="7">
        <v>2799.2</v>
      </c>
      <c r="C643" s="28">
        <v>1.9E-2</v>
      </c>
    </row>
    <row r="644" spans="1:3" x14ac:dyDescent="0.3">
      <c r="A644" s="27">
        <v>45947</v>
      </c>
      <c r="B644" s="7">
        <v>2774.55</v>
      </c>
      <c r="C644" s="28">
        <v>-8.8000000000000005E-3</v>
      </c>
    </row>
    <row r="645" spans="1:3" x14ac:dyDescent="0.3">
      <c r="A645" s="27">
        <v>45950</v>
      </c>
      <c r="B645" s="7">
        <v>2773.75</v>
      </c>
      <c r="C645" s="28">
        <v>-2.9999999999999997E-4</v>
      </c>
    </row>
    <row r="646" spans="1:3" x14ac:dyDescent="0.3">
      <c r="A646" s="27">
        <v>45951</v>
      </c>
      <c r="B646" s="7">
        <v>2781.2</v>
      </c>
      <c r="C646" s="28">
        <v>2.7000000000000001E-3</v>
      </c>
    </row>
    <row r="647" spans="1:3" x14ac:dyDescent="0.3">
      <c r="A647" s="27">
        <v>45952</v>
      </c>
      <c r="B647" s="7">
        <v>2809.8</v>
      </c>
      <c r="C647" s="28">
        <v>1.03E-2</v>
      </c>
    </row>
    <row r="648" spans="1:3" x14ac:dyDescent="0.3">
      <c r="A648" s="27">
        <v>45953</v>
      </c>
      <c r="B648" s="7">
        <v>2863.05</v>
      </c>
      <c r="C648" s="28">
        <v>1.9E-2</v>
      </c>
    </row>
    <row r="649" spans="1:3" x14ac:dyDescent="0.3">
      <c r="A649" s="27">
        <v>45954</v>
      </c>
      <c r="B649" s="7">
        <v>2859.9</v>
      </c>
      <c r="C649" s="28">
        <v>-1.1000000000000001E-3</v>
      </c>
    </row>
    <row r="650" spans="1:3" x14ac:dyDescent="0.3">
      <c r="A650" s="27">
        <v>45957</v>
      </c>
      <c r="B650" s="7">
        <v>2876.15</v>
      </c>
      <c r="C650" s="28">
        <v>5.7000000000000002E-3</v>
      </c>
    </row>
    <row r="651" spans="1:3" x14ac:dyDescent="0.3">
      <c r="A651" s="27">
        <v>45958</v>
      </c>
      <c r="B651" s="7">
        <v>2899.7</v>
      </c>
      <c r="C651" s="28">
        <v>8.2000000000000007E-3</v>
      </c>
    </row>
    <row r="652" spans="1:3" x14ac:dyDescent="0.3">
      <c r="A652" s="27">
        <v>45959</v>
      </c>
      <c r="B652" s="7">
        <v>2884.6</v>
      </c>
      <c r="C652" s="28">
        <v>-5.1999999999999998E-3</v>
      </c>
    </row>
    <row r="653" spans="1:3" x14ac:dyDescent="0.3">
      <c r="A653" s="27">
        <v>45960</v>
      </c>
      <c r="B653" s="7">
        <v>2872.55</v>
      </c>
      <c r="C653" s="28">
        <v>-4.1999999999999997E-3</v>
      </c>
    </row>
    <row r="654" spans="1:3" x14ac:dyDescent="0.3">
      <c r="A654" s="27">
        <v>45961</v>
      </c>
      <c r="B654" s="7">
        <v>2892.55</v>
      </c>
      <c r="C654" s="28">
        <v>7.0000000000000001E-3</v>
      </c>
    </row>
    <row r="655" spans="1:3" x14ac:dyDescent="0.3">
      <c r="A655" s="27">
        <v>45964</v>
      </c>
      <c r="B655" s="7">
        <v>2912.95</v>
      </c>
      <c r="C655" s="28">
        <v>7.1000000000000004E-3</v>
      </c>
    </row>
    <row r="656" spans="1:3" x14ac:dyDescent="0.3">
      <c r="A656" s="27">
        <v>45965</v>
      </c>
      <c r="B656" s="7">
        <v>2862</v>
      </c>
      <c r="C656" s="28">
        <v>-1.7500000000000002E-2</v>
      </c>
    </row>
    <row r="657" spans="1:3" x14ac:dyDescent="0.3">
      <c r="A657" s="27">
        <v>45966</v>
      </c>
      <c r="B657" s="7">
        <v>2863.2</v>
      </c>
      <c r="C657" s="28">
        <v>4.0000000000000002E-4</v>
      </c>
    </row>
    <row r="658" spans="1:3" x14ac:dyDescent="0.3">
      <c r="A658" s="27">
        <v>45967</v>
      </c>
      <c r="B658" s="7">
        <v>2844.15</v>
      </c>
      <c r="C658" s="28">
        <v>-6.7000000000000002E-3</v>
      </c>
    </row>
    <row r="659" spans="1:3" x14ac:dyDescent="0.3">
      <c r="A659" s="27">
        <v>45968</v>
      </c>
      <c r="B659" s="7">
        <v>2856.95</v>
      </c>
      <c r="C659" s="28">
        <v>4.4999999999999997E-3</v>
      </c>
    </row>
    <row r="660" spans="1:3" x14ac:dyDescent="0.3">
      <c r="A660" s="27">
        <v>45971</v>
      </c>
      <c r="B660" s="7">
        <v>2882.8</v>
      </c>
      <c r="C660" s="28">
        <v>8.9999999999999993E-3</v>
      </c>
    </row>
    <row r="661" spans="1:3" x14ac:dyDescent="0.3">
      <c r="A661" s="27">
        <v>45972</v>
      </c>
      <c r="B661" s="7">
        <v>2878.55</v>
      </c>
      <c r="C661" s="28">
        <v>-1.5E-3</v>
      </c>
    </row>
    <row r="662" spans="1:3" x14ac:dyDescent="0.3">
      <c r="A662" s="27">
        <v>45973</v>
      </c>
      <c r="B662" s="7">
        <v>2892.6</v>
      </c>
      <c r="C662" s="28">
        <v>4.8999999999999998E-3</v>
      </c>
    </row>
    <row r="663" spans="1:3" x14ac:dyDescent="0.3">
      <c r="A663" s="27">
        <v>45974</v>
      </c>
      <c r="B663" s="7">
        <v>2879.15</v>
      </c>
      <c r="C663" s="28">
        <v>-4.5999999999999999E-3</v>
      </c>
    </row>
    <row r="664" spans="1:3" x14ac:dyDescent="0.3">
      <c r="A664" s="27">
        <v>45975</v>
      </c>
      <c r="B664" s="7">
        <v>2860</v>
      </c>
      <c r="C664" s="28">
        <v>-6.7000000000000002E-3</v>
      </c>
    </row>
    <row r="665" spans="1:3" x14ac:dyDescent="0.3">
      <c r="A665" s="27">
        <v>45978</v>
      </c>
      <c r="B665" s="7">
        <v>2815.8</v>
      </c>
      <c r="C665" s="28">
        <v>-1.55E-2</v>
      </c>
    </row>
    <row r="666" spans="1:3" x14ac:dyDescent="0.3">
      <c r="A666" s="27">
        <v>45979</v>
      </c>
      <c r="B666" s="7">
        <v>2788.9</v>
      </c>
      <c r="C666" s="28">
        <v>-9.5999999999999992E-3</v>
      </c>
    </row>
    <row r="667" spans="1:3" x14ac:dyDescent="0.3">
      <c r="A667" s="27">
        <v>45980</v>
      </c>
      <c r="B667" s="7">
        <v>2813.25</v>
      </c>
      <c r="C667" s="28">
        <v>8.6999999999999994E-3</v>
      </c>
    </row>
    <row r="668" spans="1:3" x14ac:dyDescent="0.3">
      <c r="A668" s="27">
        <v>45981</v>
      </c>
      <c r="B668" s="7">
        <v>2812.7</v>
      </c>
      <c r="C668" s="28">
        <v>-2.0000000000000001E-4</v>
      </c>
    </row>
    <row r="669" spans="1:3" x14ac:dyDescent="0.3">
      <c r="A669" s="27">
        <v>45982</v>
      </c>
      <c r="B669" s="7">
        <v>2805.7</v>
      </c>
      <c r="C669" s="28">
        <v>-2.5000000000000001E-3</v>
      </c>
    </row>
    <row r="670" spans="1:3" x14ac:dyDescent="0.3">
      <c r="A670" s="27">
        <v>45985</v>
      </c>
      <c r="B670" s="7">
        <v>2814.85</v>
      </c>
      <c r="C670" s="28">
        <v>3.3E-3</v>
      </c>
    </row>
    <row r="671" spans="1:3" x14ac:dyDescent="0.3">
      <c r="A671" s="27">
        <v>45986</v>
      </c>
      <c r="B671" s="7">
        <v>2811.9</v>
      </c>
      <c r="C671" s="28">
        <v>-1E-3</v>
      </c>
    </row>
    <row r="672" spans="1:3" x14ac:dyDescent="0.3">
      <c r="A672" s="27">
        <v>45987</v>
      </c>
      <c r="B672" s="7">
        <v>2871.65</v>
      </c>
      <c r="C672" s="28">
        <v>2.12E-2</v>
      </c>
    </row>
    <row r="673" spans="1:3" x14ac:dyDescent="0.3">
      <c r="A673" s="27">
        <v>45988</v>
      </c>
      <c r="B673" s="7">
        <v>2833.25</v>
      </c>
      <c r="C673" s="28">
        <v>-1.34E-2</v>
      </c>
    </row>
    <row r="674" spans="1:3" x14ac:dyDescent="0.3">
      <c r="A674" s="27">
        <v>45989</v>
      </c>
      <c r="B674" s="7">
        <v>2873.6</v>
      </c>
      <c r="C674" s="28">
        <v>1.4200000000000001E-2</v>
      </c>
    </row>
    <row r="675" spans="1:3" x14ac:dyDescent="0.3">
      <c r="A675" s="27">
        <v>45992</v>
      </c>
      <c r="B675" s="7">
        <v>2892.55</v>
      </c>
      <c r="C675" s="28">
        <v>6.6E-3</v>
      </c>
    </row>
    <row r="676" spans="1:3" x14ac:dyDescent="0.3">
      <c r="A676" s="27">
        <v>45993</v>
      </c>
      <c r="B676" s="7">
        <v>2862.45</v>
      </c>
      <c r="C676" s="28">
        <v>-1.04E-2</v>
      </c>
    </row>
    <row r="677" spans="1:3" x14ac:dyDescent="0.3">
      <c r="A677" s="27">
        <v>45994</v>
      </c>
      <c r="B677" s="7">
        <v>2901.5</v>
      </c>
      <c r="C677" s="28">
        <v>1.3599999999999999E-2</v>
      </c>
    </row>
    <row r="678" spans="1:3" x14ac:dyDescent="0.3">
      <c r="A678" s="27">
        <v>45995</v>
      </c>
      <c r="B678" s="7">
        <v>2901.75</v>
      </c>
      <c r="C678" s="28">
        <v>1E-4</v>
      </c>
    </row>
    <row r="679" spans="1:3" x14ac:dyDescent="0.3">
      <c r="A679" s="27">
        <v>45996</v>
      </c>
      <c r="B679" s="7">
        <v>2909.2</v>
      </c>
      <c r="C679" s="28">
        <v>2.5999999999999999E-3</v>
      </c>
    </row>
    <row r="680" spans="1:3" x14ac:dyDescent="0.3">
      <c r="A680" s="27">
        <v>45999</v>
      </c>
      <c r="B680" s="7">
        <v>2888.8</v>
      </c>
      <c r="C680" s="28">
        <v>-7.0000000000000001E-3</v>
      </c>
    </row>
    <row r="681" spans="1:3" x14ac:dyDescent="0.3">
      <c r="A681" s="27">
        <v>46000</v>
      </c>
      <c r="B681" s="7">
        <v>2856.63</v>
      </c>
      <c r="C681" s="28">
        <v>-1.11E-2</v>
      </c>
    </row>
    <row r="682" spans="1:3" x14ac:dyDescent="0.3">
      <c r="A682" s="27">
        <v>46001</v>
      </c>
      <c r="B682" s="7">
        <v>2871.8</v>
      </c>
      <c r="C682" s="28">
        <v>5.3E-3</v>
      </c>
    </row>
    <row r="683" spans="1:3" x14ac:dyDescent="0.3">
      <c r="A683" s="27">
        <v>46002</v>
      </c>
      <c r="B683" s="7">
        <v>2903.85</v>
      </c>
      <c r="C683" s="28">
        <v>1.12E-2</v>
      </c>
    </row>
    <row r="684" spans="1:3" x14ac:dyDescent="0.3">
      <c r="A684" s="27">
        <v>46003</v>
      </c>
      <c r="B684" s="7">
        <v>2877</v>
      </c>
      <c r="C684" s="28">
        <v>-9.1999999999999998E-3</v>
      </c>
    </row>
    <row r="685" spans="1:3" x14ac:dyDescent="0.3">
      <c r="A685" s="27">
        <v>46006</v>
      </c>
      <c r="B685" s="7">
        <v>2873.9</v>
      </c>
      <c r="C685" s="28">
        <v>-1.1000000000000001E-3</v>
      </c>
    </row>
    <row r="686" spans="1:3" x14ac:dyDescent="0.3">
      <c r="A686" s="27">
        <v>46007</v>
      </c>
      <c r="B686" s="7">
        <v>2881.7</v>
      </c>
      <c r="C686" s="28">
        <v>2.7000000000000001E-3</v>
      </c>
    </row>
    <row r="687" spans="1:3" x14ac:dyDescent="0.3">
      <c r="A687" s="27">
        <v>46008</v>
      </c>
      <c r="B687" s="7">
        <v>2902.4</v>
      </c>
      <c r="C687" s="28">
        <v>7.1999999999999998E-3</v>
      </c>
    </row>
    <row r="688" spans="1:3" x14ac:dyDescent="0.3">
      <c r="A688" s="27">
        <v>46009</v>
      </c>
      <c r="B688" s="7">
        <v>2916.1</v>
      </c>
      <c r="C688" s="28">
        <v>4.7000000000000002E-3</v>
      </c>
    </row>
    <row r="689" spans="1:3" x14ac:dyDescent="0.3">
      <c r="A689" s="27">
        <v>46010</v>
      </c>
      <c r="B689" s="7">
        <v>2958.9</v>
      </c>
      <c r="C689" s="28">
        <v>1.47E-2</v>
      </c>
    </row>
    <row r="690" spans="1:3" x14ac:dyDescent="0.3">
      <c r="A690" s="27">
        <v>46013</v>
      </c>
      <c r="B690" s="7">
        <v>2942.95</v>
      </c>
      <c r="C690" s="28">
        <v>-5.4000000000000003E-3</v>
      </c>
    </row>
    <row r="691" spans="1:3" x14ac:dyDescent="0.3">
      <c r="A691" s="27">
        <v>46014</v>
      </c>
      <c r="B691" s="7">
        <v>2947.45</v>
      </c>
      <c r="C691" s="28">
        <v>1.5E-3</v>
      </c>
    </row>
    <row r="692" spans="1:3" x14ac:dyDescent="0.3">
      <c r="A692" s="27">
        <v>46015</v>
      </c>
      <c r="B692" s="7">
        <v>2956.95</v>
      </c>
      <c r="C692" s="28">
        <v>3.2000000000000002E-3</v>
      </c>
    </row>
    <row r="693" spans="1:3" x14ac:dyDescent="0.3">
      <c r="A693" s="27">
        <v>46020</v>
      </c>
      <c r="B693" s="7">
        <v>2951.15</v>
      </c>
      <c r="C693" s="28">
        <v>-2E-3</v>
      </c>
    </row>
    <row r="694" spans="1:3" x14ac:dyDescent="0.3">
      <c r="A694" s="27">
        <v>46021</v>
      </c>
      <c r="B694" s="7">
        <v>2987.15</v>
      </c>
      <c r="C694" s="28">
        <v>1.2200000000000001E-2</v>
      </c>
    </row>
    <row r="695" spans="1:3" x14ac:dyDescent="0.3">
      <c r="A695" s="27">
        <v>46022</v>
      </c>
      <c r="B695" s="7">
        <v>2995.95</v>
      </c>
      <c r="C695" s="28">
        <v>2.8999999999999998E-3</v>
      </c>
    </row>
    <row r="696" spans="1:3" x14ac:dyDescent="0.3">
      <c r="A696" s="27">
        <v>46024</v>
      </c>
      <c r="B696" s="7">
        <v>3023.1</v>
      </c>
      <c r="C696" s="28">
        <v>9.1000000000000004E-3</v>
      </c>
    </row>
    <row r="697" spans="1:3" x14ac:dyDescent="0.3">
      <c r="A697" s="27">
        <v>46027</v>
      </c>
      <c r="B697" s="7">
        <v>3087.4</v>
      </c>
      <c r="C697" s="28">
        <v>2.1299999999999999E-2</v>
      </c>
    </row>
    <row r="698" spans="1:3" x14ac:dyDescent="0.3">
      <c r="A698" s="27">
        <v>46028</v>
      </c>
      <c r="B698" s="7">
        <v>3133.85</v>
      </c>
      <c r="C698" s="28">
        <v>1.4999999999999999E-2</v>
      </c>
    </row>
    <row r="699" spans="1:3" x14ac:dyDescent="0.3">
      <c r="A699" s="27">
        <v>46029</v>
      </c>
      <c r="B699" s="7">
        <v>3086.55</v>
      </c>
      <c r="C699" s="28">
        <v>-1.5100000000000001E-2</v>
      </c>
    </row>
    <row r="700" spans="1:3" x14ac:dyDescent="0.3">
      <c r="A700" s="27">
        <v>46030</v>
      </c>
      <c r="B700" s="7">
        <v>3089.05</v>
      </c>
      <c r="C700" s="28">
        <v>8.0000000000000004E-4</v>
      </c>
    </row>
    <row r="701" spans="1:3" x14ac:dyDescent="0.3">
      <c r="A701" s="27">
        <v>46031</v>
      </c>
      <c r="B701" s="7">
        <v>3147.85</v>
      </c>
      <c r="C701" s="28">
        <v>1.9E-2</v>
      </c>
    </row>
    <row r="702" spans="1:3" x14ac:dyDescent="0.3">
      <c r="A702" s="27">
        <v>46034</v>
      </c>
      <c r="B702" s="7">
        <v>3189.8</v>
      </c>
      <c r="C702" s="28">
        <v>1.3299999999999999E-2</v>
      </c>
    </row>
    <row r="703" spans="1:3" x14ac:dyDescent="0.3">
      <c r="A703" s="27">
        <v>46035</v>
      </c>
      <c r="B703" s="7">
        <v>3190.4</v>
      </c>
      <c r="C703" s="28">
        <v>2.0000000000000001E-4</v>
      </c>
    </row>
    <row r="704" spans="1:3" x14ac:dyDescent="0.3">
      <c r="A704" s="27">
        <v>46036</v>
      </c>
      <c r="B704" s="7">
        <v>3186.5</v>
      </c>
      <c r="C704" s="28">
        <v>-1.1999999999999999E-3</v>
      </c>
    </row>
    <row r="705" spans="1:3" x14ac:dyDescent="0.3">
      <c r="A705" s="27">
        <v>46037</v>
      </c>
      <c r="B705" s="7">
        <v>3170.25</v>
      </c>
      <c r="C705" s="28">
        <v>-5.1000000000000004E-3</v>
      </c>
    </row>
    <row r="706" spans="1:3" x14ac:dyDescent="0.3">
      <c r="A706" s="27">
        <v>46038</v>
      </c>
      <c r="B706" s="7">
        <v>3140.7</v>
      </c>
      <c r="C706" s="28">
        <v>-9.2999999999999992E-3</v>
      </c>
    </row>
    <row r="707" spans="1:3" x14ac:dyDescent="0.3">
      <c r="A707" s="27">
        <v>46041</v>
      </c>
      <c r="B707" s="7">
        <v>3166.4</v>
      </c>
      <c r="C707" s="28">
        <v>8.2000000000000007E-3</v>
      </c>
    </row>
    <row r="708" spans="1:3" x14ac:dyDescent="0.3">
      <c r="A708" s="27">
        <v>46042</v>
      </c>
      <c r="B708" s="7">
        <v>3117.8</v>
      </c>
      <c r="C708" s="28">
        <v>-1.5299999999999999E-2</v>
      </c>
    </row>
    <row r="709" spans="1:3" x14ac:dyDescent="0.3">
      <c r="A709" s="27">
        <v>46043</v>
      </c>
      <c r="B709" s="7">
        <v>3119.58</v>
      </c>
      <c r="C709" s="28">
        <v>5.9999999999999995E-4</v>
      </c>
    </row>
    <row r="710" spans="1:3" x14ac:dyDescent="0.3">
      <c r="A710" s="27">
        <v>46044</v>
      </c>
      <c r="B710" s="7">
        <v>3140.9</v>
      </c>
      <c r="C710" s="28">
        <v>6.7999999999999996E-3</v>
      </c>
    </row>
    <row r="711" spans="1:3" x14ac:dyDescent="0.3">
      <c r="A711" s="27">
        <v>46045</v>
      </c>
      <c r="B711" s="7">
        <v>3175.35</v>
      </c>
      <c r="C711" s="28">
        <v>1.0999999999999999E-2</v>
      </c>
    </row>
    <row r="712" spans="1:3" x14ac:dyDescent="0.3">
      <c r="A712" s="27">
        <v>46048</v>
      </c>
      <c r="B712" s="7">
        <v>3199.35</v>
      </c>
      <c r="C712" s="28">
        <v>7.6E-3</v>
      </c>
    </row>
    <row r="713" spans="1:3" x14ac:dyDescent="0.3">
      <c r="A713" s="27">
        <v>46049</v>
      </c>
      <c r="B713" s="7">
        <v>3210.35</v>
      </c>
      <c r="C713" s="28">
        <v>3.3999999999999998E-3</v>
      </c>
    </row>
    <row r="714" spans="1:3" x14ac:dyDescent="0.3">
      <c r="A714" s="27">
        <v>46050</v>
      </c>
      <c r="B714" s="7">
        <v>3267</v>
      </c>
      <c r="C714" s="28">
        <v>1.7600000000000001E-2</v>
      </c>
    </row>
    <row r="715" spans="1:3" x14ac:dyDescent="0.3">
      <c r="A715" s="27">
        <v>46051</v>
      </c>
      <c r="B715" s="7">
        <v>3230.5</v>
      </c>
      <c r="C715" s="28">
        <v>-1.12E-2</v>
      </c>
    </row>
    <row r="716" spans="1:3" x14ac:dyDescent="0.3">
      <c r="A716" s="27">
        <v>46052</v>
      </c>
      <c r="B716" s="7">
        <v>3117.65</v>
      </c>
      <c r="C716" s="28">
        <v>-3.49E-2</v>
      </c>
    </row>
    <row r="717" spans="1:3" x14ac:dyDescent="0.3">
      <c r="A717" s="27">
        <v>46055</v>
      </c>
      <c r="B717" s="7">
        <v>3054.2</v>
      </c>
      <c r="C717" s="28">
        <v>-2.0400000000000001E-2</v>
      </c>
    </row>
    <row r="718" spans="1:3" x14ac:dyDescent="0.3">
      <c r="A718" s="27">
        <v>46056</v>
      </c>
      <c r="B718" s="7">
        <v>3105.15</v>
      </c>
      <c r="C718" s="28">
        <v>1.67E-2</v>
      </c>
    </row>
    <row r="719" spans="1:3" x14ac:dyDescent="0.3">
      <c r="A719" s="27">
        <v>46057</v>
      </c>
      <c r="B719" s="7">
        <v>3052.15</v>
      </c>
      <c r="C719" s="28">
        <v>-1.7100000000000001E-2</v>
      </c>
    </row>
    <row r="720" spans="1:3" x14ac:dyDescent="0.3">
      <c r="A720" s="27">
        <v>46058</v>
      </c>
      <c r="B720" s="7">
        <v>3035.1</v>
      </c>
      <c r="C720" s="28">
        <v>-5.5999999999999999E-3</v>
      </c>
    </row>
    <row r="721" spans="1:3" x14ac:dyDescent="0.3">
      <c r="A721" s="27">
        <v>46059</v>
      </c>
      <c r="B721" s="7">
        <v>3111.65</v>
      </c>
      <c r="C721" s="28">
        <v>2.52E-2</v>
      </c>
    </row>
    <row r="722" spans="1:3" x14ac:dyDescent="0.3">
      <c r="A722" s="27">
        <v>46062</v>
      </c>
      <c r="B722" s="7">
        <v>3129.55</v>
      </c>
      <c r="C722" s="28">
        <v>5.7999999999999996E-3</v>
      </c>
    </row>
    <row r="723" spans="1:3" x14ac:dyDescent="0.3">
      <c r="A723" s="27">
        <v>46063</v>
      </c>
      <c r="B723" s="7">
        <v>3101.5</v>
      </c>
      <c r="C723" s="28">
        <v>-8.9999999999999993E-3</v>
      </c>
    </row>
    <row r="724" spans="1:3" x14ac:dyDescent="0.3">
      <c r="A724" s="27">
        <v>46064</v>
      </c>
      <c r="B724" s="7">
        <v>3119.85</v>
      </c>
      <c r="C724" s="28">
        <v>5.8999999999999999E-3</v>
      </c>
    </row>
    <row r="725" spans="1:3" x14ac:dyDescent="0.3">
      <c r="A725" s="27">
        <v>46065</v>
      </c>
      <c r="B725" s="7">
        <v>3097.15</v>
      </c>
      <c r="C725" s="28">
        <v>-7.3000000000000001E-3</v>
      </c>
    </row>
    <row r="726" spans="1:3" x14ac:dyDescent="0.3">
      <c r="A726" s="27">
        <v>46066</v>
      </c>
      <c r="B726" s="7">
        <v>3095.75</v>
      </c>
      <c r="C726" s="28">
        <v>-5.0000000000000001E-4</v>
      </c>
    </row>
    <row r="727" spans="1:3" x14ac:dyDescent="0.3">
      <c r="A727" s="27">
        <v>46069</v>
      </c>
      <c r="B727" s="7">
        <v>3045.3</v>
      </c>
      <c r="C727" s="28">
        <v>-1.6299999999999999E-2</v>
      </c>
    </row>
    <row r="728" spans="1:3" x14ac:dyDescent="0.3">
      <c r="A728" s="27">
        <v>46070</v>
      </c>
      <c r="B728" s="7">
        <v>3040.3</v>
      </c>
      <c r="C728" s="28">
        <v>-1.6000000000000001E-3</v>
      </c>
    </row>
    <row r="729" spans="1:3" x14ac:dyDescent="0.3">
      <c r="A729" s="27">
        <v>46071</v>
      </c>
      <c r="B729" s="7">
        <v>3084.5</v>
      </c>
      <c r="C729" s="28">
        <v>1.4500000000000001E-2</v>
      </c>
    </row>
    <row r="730" spans="1:3" x14ac:dyDescent="0.3">
      <c r="A730" s="27">
        <v>46072</v>
      </c>
      <c r="B730" s="7">
        <v>3071.85</v>
      </c>
      <c r="C730" s="28">
        <v>-4.1000000000000003E-3</v>
      </c>
    </row>
    <row r="731" spans="1:3" x14ac:dyDescent="0.3">
      <c r="A731" s="27">
        <v>46073</v>
      </c>
      <c r="B731" s="7">
        <v>3101.9</v>
      </c>
      <c r="C731" s="28">
        <v>9.7999999999999997E-3</v>
      </c>
    </row>
    <row r="732" spans="1:3" x14ac:dyDescent="0.3">
      <c r="A732" s="27">
        <v>46076</v>
      </c>
      <c r="B732" s="7">
        <v>3092.75</v>
      </c>
      <c r="C732" s="28">
        <v>-2.8999999999999998E-3</v>
      </c>
    </row>
    <row r="733" spans="1:3" x14ac:dyDescent="0.3">
      <c r="A733" s="27">
        <v>46077</v>
      </c>
      <c r="B733" s="7">
        <v>3110.9</v>
      </c>
      <c r="C733" s="28">
        <v>5.8999999999999999E-3</v>
      </c>
    </row>
    <row r="734" spans="1:3" x14ac:dyDescent="0.3">
      <c r="A734" s="27">
        <v>46078</v>
      </c>
      <c r="B734" s="7">
        <v>3175.4</v>
      </c>
      <c r="C734" s="28">
        <v>2.07E-2</v>
      </c>
    </row>
    <row r="735" spans="1:3" x14ac:dyDescent="0.3">
      <c r="A735" s="27">
        <v>46079</v>
      </c>
      <c r="B735" s="7">
        <v>3148.1</v>
      </c>
      <c r="C735" s="28">
        <v>-8.6E-3</v>
      </c>
    </row>
    <row r="736" spans="1:3" x14ac:dyDescent="0.3">
      <c r="A736" s="27">
        <v>46080</v>
      </c>
      <c r="B736" s="7">
        <v>3146.9</v>
      </c>
      <c r="C736" s="28">
        <v>-4.0000000000000002E-4</v>
      </c>
    </row>
    <row r="737" spans="1:3" x14ac:dyDescent="0.3">
      <c r="A737" s="27">
        <v>46083</v>
      </c>
      <c r="B737" s="7">
        <v>3194.45</v>
      </c>
      <c r="C737" s="28">
        <v>1.5100000000000001E-2</v>
      </c>
    </row>
    <row r="738" spans="1:3" x14ac:dyDescent="0.3">
      <c r="A738" s="27">
        <v>46084</v>
      </c>
      <c r="B738" s="7">
        <v>3277.5</v>
      </c>
      <c r="C738" s="28">
        <v>2.5999999999999999E-2</v>
      </c>
    </row>
    <row r="739" spans="1:3" x14ac:dyDescent="0.3">
      <c r="A739" s="27">
        <v>46085</v>
      </c>
      <c r="B739" s="7">
        <v>3333.5</v>
      </c>
      <c r="C739" s="28">
        <v>1.7100000000000001E-2</v>
      </c>
    </row>
    <row r="740" spans="1:3" x14ac:dyDescent="0.3">
      <c r="A740" s="27">
        <v>46086</v>
      </c>
      <c r="B740" s="7">
        <v>3279.95</v>
      </c>
      <c r="C740" s="28">
        <v>-1.61E-2</v>
      </c>
    </row>
    <row r="741" spans="1:3" x14ac:dyDescent="0.3">
      <c r="A741" s="27">
        <v>46087</v>
      </c>
      <c r="B741" s="7">
        <v>3425.9</v>
      </c>
      <c r="C741" s="28">
        <v>4.4499999999999998E-2</v>
      </c>
    </row>
    <row r="742" spans="1:3" x14ac:dyDescent="0.3">
      <c r="A742" s="27">
        <v>46090</v>
      </c>
      <c r="B742" s="7">
        <v>3384.45</v>
      </c>
      <c r="C742" s="28">
        <v>-1.21E-2</v>
      </c>
    </row>
    <row r="743" spans="1:3" x14ac:dyDescent="0.3">
      <c r="A743" s="27">
        <v>46091</v>
      </c>
      <c r="B743" s="7">
        <v>3393</v>
      </c>
      <c r="C743" s="28">
        <v>2.5000000000000001E-3</v>
      </c>
    </row>
    <row r="744" spans="1:3" x14ac:dyDescent="0.3">
      <c r="A744" s="27">
        <v>46092</v>
      </c>
      <c r="B744" s="7">
        <v>3446</v>
      </c>
      <c r="C744" s="28">
        <v>1.5599999999999999E-2</v>
      </c>
    </row>
    <row r="745" spans="1:3" x14ac:dyDescent="0.3">
      <c r="A745" s="27">
        <v>46093</v>
      </c>
      <c r="B745" s="7">
        <v>3519.35</v>
      </c>
      <c r="C745" s="28">
        <v>2.1299999999999999E-2</v>
      </c>
    </row>
    <row r="746" spans="1:3" x14ac:dyDescent="0.3">
      <c r="A746" s="27">
        <v>46094</v>
      </c>
      <c r="B746" s="7">
        <v>3420</v>
      </c>
      <c r="C746" s="28">
        <v>-2.8199999999999999E-2</v>
      </c>
    </row>
    <row r="747" spans="1:3" x14ac:dyDescent="0.3">
      <c r="A747" s="27">
        <v>46097</v>
      </c>
      <c r="B747" s="7">
        <v>3391.2</v>
      </c>
      <c r="C747" s="28">
        <v>-8.3999999999999995E-3</v>
      </c>
    </row>
    <row r="748" spans="1:3" x14ac:dyDescent="0.3">
      <c r="A748" s="27">
        <v>46098</v>
      </c>
      <c r="B748" s="7">
        <v>3369.6</v>
      </c>
      <c r="C748" s="28">
        <v>-6.4000000000000003E-3</v>
      </c>
    </row>
    <row r="749" spans="1:3" x14ac:dyDescent="0.3">
      <c r="A749" s="27">
        <v>46099</v>
      </c>
      <c r="B749" s="7">
        <v>3415.18</v>
      </c>
      <c r="C749" s="28">
        <v>1.35E-2</v>
      </c>
    </row>
    <row r="750" spans="1:3" x14ac:dyDescent="0.3">
      <c r="A750" s="27">
        <v>46100</v>
      </c>
      <c r="B750" s="7">
        <v>3242</v>
      </c>
      <c r="C750" s="28">
        <v>-5.0700000000000002E-2</v>
      </c>
    </row>
    <row r="751" spans="1:3" x14ac:dyDescent="0.3">
      <c r="A751" s="27">
        <v>46101</v>
      </c>
      <c r="B751" s="7">
        <v>3194.95</v>
      </c>
      <c r="C751" s="28">
        <v>-1.4500000000000001E-2</v>
      </c>
    </row>
    <row r="752" spans="1:3" x14ac:dyDescent="0.3">
      <c r="A752" s="27">
        <v>46104</v>
      </c>
      <c r="B752" s="7">
        <v>3227.5</v>
      </c>
      <c r="C752" s="28">
        <v>1.0200000000000001E-2</v>
      </c>
    </row>
    <row r="753" spans="1:3" x14ac:dyDescent="0.3">
      <c r="A753" s="27">
        <v>46105</v>
      </c>
      <c r="B753" s="7">
        <v>3239.5</v>
      </c>
      <c r="C753" s="28">
        <v>3.7000000000000002E-3</v>
      </c>
    </row>
    <row r="754" spans="1:3" x14ac:dyDescent="0.3">
      <c r="A754" s="27">
        <v>46106</v>
      </c>
      <c r="B754" s="7">
        <v>3245.5</v>
      </c>
      <c r="C754" s="28">
        <v>1.9E-3</v>
      </c>
    </row>
    <row r="755" spans="1:3" x14ac:dyDescent="0.3">
      <c r="A755" s="27">
        <v>46107</v>
      </c>
      <c r="B755" s="7">
        <v>3248.95</v>
      </c>
      <c r="C755" s="28">
        <v>1.1000000000000001E-3</v>
      </c>
    </row>
    <row r="756" spans="1:3" x14ac:dyDescent="0.3">
      <c r="A756" s="27">
        <v>46108</v>
      </c>
      <c r="B756" s="7">
        <v>3275.2</v>
      </c>
      <c r="C756" s="28">
        <v>8.0999999999999996E-3</v>
      </c>
    </row>
    <row r="757" spans="1:3" x14ac:dyDescent="0.3">
      <c r="A757" s="27">
        <v>46111</v>
      </c>
      <c r="B757" s="7">
        <v>3431.5</v>
      </c>
      <c r="C757" s="28">
        <v>4.7699999999999999E-2</v>
      </c>
    </row>
    <row r="758" spans="1:3" x14ac:dyDescent="0.3">
      <c r="A758" s="27">
        <v>46112</v>
      </c>
      <c r="B758" s="7">
        <v>3429.55</v>
      </c>
      <c r="C758" s="28">
        <v>-5.9999999999999995E-4</v>
      </c>
    </row>
  </sheetData>
  <autoFilter ref="L1:O1" xr:uid="{B37E64BB-6F45-41F5-847C-3B2F533E62FB}">
    <sortState xmlns:xlrd2="http://schemas.microsoft.com/office/spreadsheetml/2017/richdata2" ref="L2:O37">
      <sortCondition ref="L1"/>
    </sortState>
  </autoFilter>
  <phoneticPr fontId="5" type="noConversion"/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4593D-0E31-4BE9-8C0E-83791CCBA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</vt:lpstr>
      <vt:lpstr>Approved SB &amp; Assumptions</vt:lpstr>
      <vt:lpstr>Production Budget</vt:lpstr>
      <vt:lpstr>Materials Budget</vt:lpstr>
      <vt:lpstr>Data insights</vt:lpstr>
      <vt:lpstr>Price prediction</vt:lpstr>
      <vt:lpstr>Hedging analysis</vt:lpstr>
      <vt:lpstr>Actuals</vt:lpstr>
      <vt:lpstr>Budget vs Actuals</vt:lpstr>
      <vt:lpstr>Hedging results</vt:lpstr>
      <vt:lpstr>Aluminium Historical 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Harshavardhaan Chandrasekaran</dc:creator>
  <cp:lastModifiedBy>Harshavardhaan Chandrasekaran</cp:lastModifiedBy>
  <dcterms:created xsi:type="dcterms:W3CDTF">2015-06-05T18:17:20Z</dcterms:created>
  <dcterms:modified xsi:type="dcterms:W3CDTF">2026-08-03T15:19:12Z</dcterms:modified>
</cp:coreProperties>
</file>